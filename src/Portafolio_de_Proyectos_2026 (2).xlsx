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3.xml" ContentType="application/vnd.openxmlformats-officedocument.spreadsheetml.table+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pra_dgutierrez\Desktop\nuevo\"/>
    </mc:Choice>
  </mc:AlternateContent>
  <xr:revisionPtr revIDLastSave="1005" documentId="8_{A42615CF-A7B3-4AE8-A5FC-F7805F58458A}" xr6:coauthVersionLast="47" xr6:coauthVersionMax="47" xr10:uidLastSave="{2C790C92-7569-4267-B05D-FC2946D83E12}"/>
  <bookViews>
    <workbookView xWindow="-120" yWindow="-120" windowWidth="20730" windowHeight="11160" tabRatio="801" xr2:uid="{28A51B6B-829B-421D-BD46-E014960A19D5}"/>
  </bookViews>
  <sheets>
    <sheet name="Portafolio P&amp;D" sheetId="4" r:id="rId1"/>
    <sheet name="Demanda Estrategica CT" sheetId="9" r:id="rId2"/>
    <sheet name="Pys Transf Digital" sheetId="10" r:id="rId3"/>
    <sheet name="Seguimiento Semanal" sheetId="11" r:id="rId4"/>
    <sheet name="Resumen" sheetId="2" r:id="rId5"/>
    <sheet name="Definiciones" sheetId="5" r:id="rId6"/>
    <sheet name="Iniciativas" sheetId="8" r:id="rId7"/>
    <sheet name="Cuenta DNI (Cloud)" sheetId="12" r:id="rId8"/>
  </sheets>
  <externalReferences>
    <externalReference r:id="rId9"/>
  </externalReferences>
  <definedNames>
    <definedName name="_xlnm._FilterDatabase" localSheetId="1" hidden="1">'Demanda Estrategica CT'!#REF!</definedName>
    <definedName name="_xlnm._FilterDatabase" localSheetId="2" hidden="1">'Pys Transf Digital'!$B$3:$BO$35</definedName>
    <definedName name="_xlnm._FilterDatabase" localSheetId="7" hidden="1">'Cuenta DNI (Cloud)'!$A$1:$O$14</definedName>
    <definedName name="_xlnm.Print_Area" localSheetId="2">'Pys Transf Digital'!$A$1:$BO$36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85" i="9" l="1"/>
  <c r="AN85" i="9"/>
  <c r="AS85" i="9"/>
  <c r="AM86" i="9"/>
  <c r="AN86" i="9"/>
  <c r="AS86" i="9"/>
  <c r="AM87" i="9"/>
  <c r="AN87" i="9"/>
  <c r="AS87" i="9"/>
  <c r="AM88" i="9"/>
  <c r="AN88" i="9"/>
  <c r="AS88" i="9"/>
  <c r="AM89" i="9"/>
  <c r="AN89" i="9"/>
  <c r="AS89" i="9"/>
  <c r="AM90" i="9"/>
  <c r="AN90" i="9"/>
  <c r="AS90" i="9"/>
  <c r="AM91" i="9"/>
  <c r="AN91" i="9"/>
  <c r="AS91" i="9"/>
  <c r="AM92" i="9"/>
  <c r="AN92" i="9"/>
  <c r="AS92" i="9"/>
  <c r="AM93" i="9"/>
  <c r="AN93" i="9"/>
  <c r="AS93" i="9"/>
  <c r="AM94" i="9"/>
  <c r="AN94" i="9"/>
  <c r="AS94" i="9"/>
  <c r="AM95" i="9"/>
  <c r="AN95" i="9"/>
  <c r="AS95" i="9"/>
  <c r="AM96" i="9"/>
  <c r="AN96" i="9"/>
  <c r="AS96" i="9"/>
  <c r="AM97" i="9"/>
  <c r="AN97" i="9"/>
  <c r="AS97" i="9"/>
  <c r="AM98" i="9"/>
  <c r="AN98" i="9"/>
  <c r="AS98" i="9"/>
  <c r="AM99" i="9"/>
  <c r="AN99" i="9"/>
  <c r="AS99" i="9"/>
  <c r="AM100" i="9"/>
  <c r="AN100" i="9"/>
  <c r="AS100" i="9"/>
  <c r="AM101" i="9"/>
  <c r="AN101" i="9"/>
  <c r="AS101" i="9"/>
  <c r="AM102" i="9"/>
  <c r="AN102" i="9"/>
  <c r="AS102" i="9"/>
  <c r="AM103" i="9"/>
  <c r="AN103" i="9"/>
  <c r="AS103" i="9"/>
  <c r="AM104" i="9"/>
  <c r="AN104" i="9"/>
  <c r="AS104" i="9"/>
  <c r="AM105" i="9"/>
  <c r="AN105" i="9"/>
  <c r="AS105" i="9"/>
  <c r="AM106" i="9"/>
  <c r="AN106" i="9"/>
  <c r="AS106" i="9"/>
  <c r="AM107" i="9"/>
  <c r="AN107" i="9"/>
  <c r="AS107" i="9"/>
  <c r="AM108" i="9"/>
  <c r="AN108" i="9"/>
  <c r="AS108" i="9"/>
  <c r="AM109" i="9"/>
  <c r="AN109" i="9"/>
  <c r="AS109" i="9"/>
  <c r="AM110" i="9"/>
  <c r="AN110" i="9"/>
  <c r="AS110" i="9"/>
  <c r="AM111" i="9"/>
  <c r="AN111" i="9"/>
  <c r="AS111" i="9"/>
  <c r="AM112" i="9"/>
  <c r="AN112" i="9"/>
  <c r="AS112" i="9"/>
  <c r="AM113" i="9"/>
  <c r="AN113" i="9"/>
  <c r="AS113" i="9"/>
  <c r="AM114" i="9"/>
  <c r="AN114" i="9"/>
  <c r="AS114" i="9"/>
  <c r="AM115" i="9"/>
  <c r="AN115" i="9"/>
  <c r="AS115" i="9"/>
  <c r="AS84" i="9"/>
  <c r="AT84" i="9" s="1"/>
  <c r="AN84" i="9"/>
  <c r="AM84" i="9"/>
  <c r="AD84" i="9"/>
  <c r="V84" i="9"/>
  <c r="U84" i="9"/>
  <c r="J84" i="9"/>
  <c r="AT34" i="9"/>
  <c r="F15" i="9"/>
  <c r="F5" i="9"/>
  <c r="G4" i="10"/>
  <c r="F22" i="9"/>
  <c r="AM14" i="9"/>
  <c r="J8" i="9"/>
  <c r="U8" i="9"/>
  <c r="V8" i="9"/>
  <c r="AD8" i="9"/>
  <c r="AM8" i="9"/>
  <c r="AN8" i="9"/>
  <c r="AS8" i="9"/>
  <c r="J9" i="9"/>
  <c r="U9" i="9"/>
  <c r="V9" i="9"/>
  <c r="AD9" i="9"/>
  <c r="AM9" i="9"/>
  <c r="AN9" i="9"/>
  <c r="AS9" i="9"/>
  <c r="J10" i="9"/>
  <c r="U10" i="9"/>
  <c r="V10" i="9"/>
  <c r="AD10" i="9"/>
  <c r="AM10" i="9"/>
  <c r="AN10" i="9"/>
  <c r="AS10" i="9"/>
  <c r="J11" i="9"/>
  <c r="U11" i="9"/>
  <c r="V11" i="9"/>
  <c r="AD11" i="9"/>
  <c r="AM11" i="9"/>
  <c r="AN11" i="9"/>
  <c r="AS11" i="9"/>
  <c r="J12" i="9"/>
  <c r="U12" i="9"/>
  <c r="V12" i="9"/>
  <c r="AD12" i="9"/>
  <c r="AM12" i="9"/>
  <c r="AN12" i="9"/>
  <c r="AS12" i="9"/>
  <c r="J13" i="9"/>
  <c r="U13" i="9"/>
  <c r="V13" i="9"/>
  <c r="AD13" i="9"/>
  <c r="AM13" i="9"/>
  <c r="AN13" i="9"/>
  <c r="AS13" i="9"/>
  <c r="J14" i="9"/>
  <c r="U14" i="9"/>
  <c r="V14" i="9"/>
  <c r="AD14" i="9"/>
  <c r="AN14" i="9"/>
  <c r="AS14" i="9"/>
  <c r="G15" i="9"/>
  <c r="H15" i="9"/>
  <c r="I15" i="9"/>
  <c r="J15" i="9"/>
  <c r="K15" i="9"/>
  <c r="U15" i="9"/>
  <c r="V15" i="9"/>
  <c r="W15" i="9"/>
  <c r="X15" i="9"/>
  <c r="AD15" i="9"/>
  <c r="AH15" i="9"/>
  <c r="AI15" i="9"/>
  <c r="AT15" i="9"/>
  <c r="AV15" i="9"/>
  <c r="F16" i="9"/>
  <c r="G16" i="9"/>
  <c r="H16" i="9"/>
  <c r="I16" i="9"/>
  <c r="J16" i="9"/>
  <c r="K16" i="9"/>
  <c r="U16" i="9"/>
  <c r="V16" i="9"/>
  <c r="W16" i="9"/>
  <c r="X16" i="9"/>
  <c r="AD16" i="9"/>
  <c r="AH16" i="9"/>
  <c r="AI16" i="9"/>
  <c r="AK16" i="9"/>
  <c r="AL16" i="9"/>
  <c r="AT16" i="9"/>
  <c r="AV16" i="9"/>
  <c r="F17" i="9"/>
  <c r="G17" i="9"/>
  <c r="H17" i="9"/>
  <c r="I17" i="9"/>
  <c r="J17" i="9"/>
  <c r="K17" i="9"/>
  <c r="U17" i="9"/>
  <c r="V17" i="9"/>
  <c r="W17" i="9"/>
  <c r="X17" i="9"/>
  <c r="AD17" i="9"/>
  <c r="AH17" i="9"/>
  <c r="AI17" i="9"/>
  <c r="AK17" i="9"/>
  <c r="AL17" i="9"/>
  <c r="AT17" i="9"/>
  <c r="AV17" i="9"/>
  <c r="J18" i="9"/>
  <c r="U18" i="9"/>
  <c r="V18" i="9"/>
  <c r="AD18" i="9"/>
  <c r="AM18" i="9"/>
  <c r="AN18" i="9"/>
  <c r="AS18" i="9"/>
  <c r="AT18" i="9" s="1"/>
  <c r="J19" i="9"/>
  <c r="U19" i="9"/>
  <c r="V19" i="9"/>
  <c r="AD19" i="9"/>
  <c r="AM19" i="9"/>
  <c r="AN19" i="9"/>
  <c r="J20" i="9"/>
  <c r="U20" i="9"/>
  <c r="V20" i="9"/>
  <c r="AD20" i="9"/>
  <c r="AM20" i="9"/>
  <c r="AN20" i="9"/>
  <c r="AT20" i="9"/>
  <c r="U21" i="9"/>
  <c r="V21" i="9"/>
  <c r="AD21" i="9"/>
  <c r="AM21" i="9"/>
  <c r="AN21" i="9"/>
  <c r="AS21" i="9"/>
  <c r="AT21" i="9" s="1"/>
  <c r="G22" i="9"/>
  <c r="H22" i="9"/>
  <c r="I22" i="9"/>
  <c r="J22" i="9"/>
  <c r="K22" i="9"/>
  <c r="U22" i="9"/>
  <c r="V22" i="9"/>
  <c r="W22" i="9"/>
  <c r="X22" i="9"/>
  <c r="AD22" i="9"/>
  <c r="AT22" i="9"/>
  <c r="AV22" i="9"/>
  <c r="F23" i="9"/>
  <c r="G23" i="9"/>
  <c r="H23" i="9"/>
  <c r="I23" i="9"/>
  <c r="J23" i="9"/>
  <c r="K23" i="9"/>
  <c r="U23" i="9"/>
  <c r="V23" i="9"/>
  <c r="W23" i="9"/>
  <c r="X23" i="9"/>
  <c r="AD23" i="9"/>
  <c r="AH23" i="9"/>
  <c r="AI23" i="9"/>
  <c r="AK23" i="9"/>
  <c r="AL23" i="9"/>
  <c r="AT23" i="9"/>
  <c r="AV23" i="9"/>
  <c r="J24" i="9"/>
  <c r="U24" i="9"/>
  <c r="V24" i="9"/>
  <c r="AD24" i="9"/>
  <c r="AM24" i="9"/>
  <c r="AN24" i="9"/>
  <c r="AS24" i="9"/>
  <c r="AT24" i="9" s="1"/>
  <c r="J25" i="9"/>
  <c r="U25" i="9"/>
  <c r="V25" i="9"/>
  <c r="AD25" i="9"/>
  <c r="AM25" i="9"/>
  <c r="AN25" i="9"/>
  <c r="AS25" i="9"/>
  <c r="AT25" i="9" s="1"/>
  <c r="J26" i="9"/>
  <c r="U26" i="9"/>
  <c r="V26" i="9"/>
  <c r="AD26" i="9"/>
  <c r="AM26" i="9"/>
  <c r="AN26" i="9"/>
  <c r="AS26" i="9"/>
  <c r="AT26" i="9" s="1"/>
  <c r="J27" i="9"/>
  <c r="U27" i="9"/>
  <c r="V27" i="9"/>
  <c r="AD27" i="9"/>
  <c r="AM27" i="9"/>
  <c r="AN27" i="9"/>
  <c r="AS27" i="9"/>
  <c r="AT27" i="9" s="1"/>
  <c r="J28" i="9"/>
  <c r="U28" i="9"/>
  <c r="V28" i="9"/>
  <c r="AD28" i="9"/>
  <c r="AM28" i="9"/>
  <c r="AN28" i="9"/>
  <c r="AS28" i="9"/>
  <c r="AT28" i="9" s="1"/>
  <c r="F29" i="9"/>
  <c r="G29" i="9"/>
  <c r="H29" i="9"/>
  <c r="I29" i="9"/>
  <c r="J29" i="9"/>
  <c r="K29" i="9"/>
  <c r="U29" i="9"/>
  <c r="V29" i="9"/>
  <c r="W29" i="9"/>
  <c r="X29" i="9"/>
  <c r="AD29" i="9"/>
  <c r="AH29" i="9"/>
  <c r="AI29" i="9"/>
  <c r="AK29" i="9"/>
  <c r="AL29" i="9"/>
  <c r="AT29" i="9"/>
  <c r="AV29" i="9"/>
  <c r="U30" i="9"/>
  <c r="V30" i="9"/>
  <c r="AD30" i="9"/>
  <c r="AM30" i="9"/>
  <c r="AN30" i="9"/>
  <c r="AS30" i="9"/>
  <c r="AT30" i="9" s="1"/>
  <c r="J31" i="9"/>
  <c r="U31" i="9"/>
  <c r="V31" i="9"/>
  <c r="AD31" i="9"/>
  <c r="AM31" i="9"/>
  <c r="AN31" i="9"/>
  <c r="AS31" i="9"/>
  <c r="AT31" i="9" s="1"/>
  <c r="J32" i="9"/>
  <c r="U32" i="9"/>
  <c r="V32" i="9"/>
  <c r="AD32" i="9"/>
  <c r="AM32" i="9"/>
  <c r="AN32" i="9"/>
  <c r="AS32" i="9"/>
  <c r="AT32" i="9" s="1"/>
  <c r="U33" i="9"/>
  <c r="V33" i="9"/>
  <c r="AD33" i="9"/>
  <c r="AM33" i="9"/>
  <c r="AN33" i="9"/>
  <c r="AS33" i="9"/>
  <c r="AT33" i="9" s="1"/>
  <c r="F34" i="9"/>
  <c r="G34" i="9"/>
  <c r="H34" i="9"/>
  <c r="I34" i="9"/>
  <c r="J34" i="9"/>
  <c r="K34" i="9"/>
  <c r="U34" i="9"/>
  <c r="V34" i="9"/>
  <c r="W34" i="9"/>
  <c r="X34" i="9"/>
  <c r="AD34" i="9"/>
  <c r="AH34" i="9"/>
  <c r="AI34" i="9"/>
  <c r="AK34" i="9"/>
  <c r="AV34" i="9"/>
  <c r="J35" i="9"/>
  <c r="U35" i="9"/>
  <c r="V35" i="9"/>
  <c r="AD35" i="9"/>
  <c r="AM35" i="9"/>
  <c r="AN35" i="9"/>
  <c r="AT35" i="9"/>
  <c r="J36" i="9"/>
  <c r="U36" i="9"/>
  <c r="V36" i="9"/>
  <c r="AD36" i="9"/>
  <c r="AM36" i="9"/>
  <c r="AN36" i="9"/>
  <c r="AS36" i="9"/>
  <c r="AT36" i="9" s="1"/>
  <c r="U37" i="9"/>
  <c r="V37" i="9"/>
  <c r="AD37" i="9"/>
  <c r="AM37" i="9"/>
  <c r="AN37" i="9"/>
  <c r="AS37" i="9"/>
  <c r="AT37" i="9" s="1"/>
  <c r="U38" i="9"/>
  <c r="V38" i="9"/>
  <c r="AD38" i="9"/>
  <c r="AM38" i="9"/>
  <c r="AN38" i="9"/>
  <c r="AS38" i="9"/>
  <c r="AT38" i="9" s="1"/>
  <c r="U39" i="9"/>
  <c r="V39" i="9"/>
  <c r="AD39" i="9"/>
  <c r="AM39" i="9"/>
  <c r="AN39" i="9"/>
  <c r="AS39" i="9"/>
  <c r="AT39" i="9" s="1"/>
  <c r="U40" i="9"/>
  <c r="V40" i="9"/>
  <c r="AD40" i="9"/>
  <c r="AM40" i="9"/>
  <c r="AN40" i="9"/>
  <c r="AS40" i="9"/>
  <c r="AT40" i="9" s="1"/>
  <c r="U41" i="9"/>
  <c r="V41" i="9"/>
  <c r="AD41" i="9"/>
  <c r="AM41" i="9"/>
  <c r="AN41" i="9"/>
  <c r="AS41" i="9"/>
  <c r="AT41" i="9" s="1"/>
  <c r="J42" i="9"/>
  <c r="U42" i="9"/>
  <c r="V42" i="9"/>
  <c r="AD42" i="9"/>
  <c r="AM42" i="9"/>
  <c r="AN42" i="9"/>
  <c r="AS42" i="9"/>
  <c r="AT42" i="9" s="1"/>
  <c r="U43" i="9"/>
  <c r="V43" i="9"/>
  <c r="AD43" i="9"/>
  <c r="AM43" i="9"/>
  <c r="AN43" i="9"/>
  <c r="AS43" i="9"/>
  <c r="AT43" i="9" s="1"/>
  <c r="J44" i="9"/>
  <c r="U44" i="9"/>
  <c r="V44" i="9"/>
  <c r="AD44" i="9"/>
  <c r="AM44" i="9"/>
  <c r="AN44" i="9"/>
  <c r="AS44" i="9"/>
  <c r="AT44" i="9" s="1"/>
  <c r="J45" i="9"/>
  <c r="U45" i="9"/>
  <c r="V45" i="9"/>
  <c r="AD45" i="9"/>
  <c r="AM45" i="9"/>
  <c r="AN45" i="9"/>
  <c r="AS45" i="9"/>
  <c r="AT45" i="9" s="1"/>
  <c r="J46" i="9"/>
  <c r="U46" i="9"/>
  <c r="V46" i="9"/>
  <c r="AD46" i="9"/>
  <c r="AM46" i="9"/>
  <c r="AN46" i="9"/>
  <c r="AS46" i="9"/>
  <c r="AT46" i="9" s="1"/>
  <c r="J47" i="9"/>
  <c r="U47" i="9"/>
  <c r="V47" i="9"/>
  <c r="AD47" i="9"/>
  <c r="AM47" i="9"/>
  <c r="AN47" i="9"/>
  <c r="AS47" i="9"/>
  <c r="AT47" i="9" s="1"/>
  <c r="F48" i="9"/>
  <c r="G48" i="9"/>
  <c r="H48" i="9"/>
  <c r="I48" i="9"/>
  <c r="J48" i="9"/>
  <c r="K48" i="9"/>
  <c r="U48" i="9"/>
  <c r="V48" i="9"/>
  <c r="W48" i="9"/>
  <c r="X48" i="9"/>
  <c r="AD48" i="9"/>
  <c r="AH48" i="9"/>
  <c r="AI48" i="9"/>
  <c r="AK48" i="9"/>
  <c r="AL48" i="9"/>
  <c r="AT48" i="9"/>
  <c r="AV48" i="9"/>
  <c r="F49" i="9"/>
  <c r="G49" i="9"/>
  <c r="H49" i="9"/>
  <c r="I49" i="9"/>
  <c r="J49" i="9"/>
  <c r="K49" i="9"/>
  <c r="U49" i="9"/>
  <c r="V49" i="9"/>
  <c r="W49" i="9"/>
  <c r="X49" i="9"/>
  <c r="AD49" i="9"/>
  <c r="AD54" i="9" s="1"/>
  <c r="AT49" i="9"/>
  <c r="AV49" i="9"/>
  <c r="F50" i="9"/>
  <c r="G50" i="9"/>
  <c r="H50" i="9"/>
  <c r="I50" i="9"/>
  <c r="J50" i="9"/>
  <c r="K50" i="9"/>
  <c r="U50" i="9"/>
  <c r="V50" i="9"/>
  <c r="W50" i="9"/>
  <c r="X50" i="9"/>
  <c r="AD50" i="9"/>
  <c r="AK50" i="9"/>
  <c r="AL50" i="9"/>
  <c r="AM50" i="9"/>
  <c r="AN50" i="9"/>
  <c r="AT50" i="9"/>
  <c r="U51" i="9"/>
  <c r="V51" i="9"/>
  <c r="AD51" i="9"/>
  <c r="AM51" i="9"/>
  <c r="AN51" i="9"/>
  <c r="AS51" i="9"/>
  <c r="AT51" i="9" s="1"/>
  <c r="U52" i="9"/>
  <c r="V52" i="9"/>
  <c r="AD52" i="9"/>
  <c r="AM52" i="9"/>
  <c r="AN52" i="9"/>
  <c r="AS52" i="9"/>
  <c r="AT52" i="9" s="1"/>
  <c r="J53" i="9"/>
  <c r="U53" i="9"/>
  <c r="V53" i="9"/>
  <c r="AD53" i="9"/>
  <c r="AM53" i="9"/>
  <c r="AN53" i="9"/>
  <c r="AS53" i="9"/>
  <c r="AT53" i="9" s="1"/>
  <c r="I54" i="9"/>
  <c r="J54" i="9"/>
  <c r="K54" i="9"/>
  <c r="U54" i="9"/>
  <c r="V54" i="9"/>
  <c r="AC54" i="9"/>
  <c r="AE54" i="9"/>
  <c r="AM54" i="9"/>
  <c r="AN54" i="9"/>
  <c r="AT54" i="9"/>
  <c r="F55" i="9"/>
  <c r="G55" i="9"/>
  <c r="H55" i="9"/>
  <c r="I55" i="9"/>
  <c r="J55" i="9"/>
  <c r="K55" i="9"/>
  <c r="U55" i="9"/>
  <c r="V55" i="9"/>
  <c r="W55" i="9"/>
  <c r="X55" i="9"/>
  <c r="AD55" i="9"/>
  <c r="AH55" i="9"/>
  <c r="AI55" i="9"/>
  <c r="AK55" i="9"/>
  <c r="AL55" i="9"/>
  <c r="AT55" i="9"/>
  <c r="AV55" i="9"/>
  <c r="U56" i="9"/>
  <c r="V56" i="9"/>
  <c r="AD56" i="9"/>
  <c r="AM56" i="9"/>
  <c r="AN56" i="9"/>
  <c r="AS56" i="9"/>
  <c r="AT56" i="9" s="1"/>
  <c r="I57" i="9"/>
  <c r="J57" i="9"/>
  <c r="K57" i="9"/>
  <c r="U57" i="9"/>
  <c r="V57" i="9"/>
  <c r="AC57" i="9"/>
  <c r="AD57" i="9"/>
  <c r="AE57" i="9"/>
  <c r="AM57" i="9"/>
  <c r="AN57" i="9"/>
  <c r="AS57" i="9"/>
  <c r="AT57" i="9" s="1"/>
  <c r="I58" i="9"/>
  <c r="J58" i="9"/>
  <c r="K58" i="9"/>
  <c r="U58" i="9"/>
  <c r="V58" i="9"/>
  <c r="AC58" i="9"/>
  <c r="AE58" i="9"/>
  <c r="AM58" i="9"/>
  <c r="AN58" i="9"/>
  <c r="AS58" i="9"/>
  <c r="AT58" i="9" s="1"/>
  <c r="F59" i="9"/>
  <c r="G59" i="9"/>
  <c r="H59" i="9"/>
  <c r="I59" i="9"/>
  <c r="J59" i="9"/>
  <c r="K59" i="9"/>
  <c r="U59" i="9"/>
  <c r="V59" i="9"/>
  <c r="W59" i="9"/>
  <c r="X59" i="9"/>
  <c r="AD59" i="9"/>
  <c r="AT59" i="9"/>
  <c r="AV59" i="9"/>
  <c r="J60" i="9"/>
  <c r="U60" i="9"/>
  <c r="V60" i="9"/>
  <c r="AD60" i="9"/>
  <c r="AM60" i="9"/>
  <c r="AN60" i="9"/>
  <c r="AS60" i="9"/>
  <c r="AT60" i="9" s="1"/>
  <c r="F61" i="9"/>
  <c r="G61" i="9"/>
  <c r="H61" i="9"/>
  <c r="I61" i="9"/>
  <c r="J61" i="9"/>
  <c r="K61" i="9"/>
  <c r="U61" i="9"/>
  <c r="V61" i="9"/>
  <c r="W61" i="9"/>
  <c r="X61" i="9"/>
  <c r="AD61" i="9"/>
  <c r="AH61" i="9"/>
  <c r="AI61" i="9"/>
  <c r="AK61" i="9"/>
  <c r="AL61" i="9"/>
  <c r="AT61" i="9"/>
  <c r="AV61" i="9"/>
  <c r="J62" i="9"/>
  <c r="U62" i="9"/>
  <c r="V62" i="9"/>
  <c r="AD62" i="9"/>
  <c r="AM62" i="9"/>
  <c r="AN62" i="9"/>
  <c r="AS62" i="9"/>
  <c r="AT62" i="9" s="1"/>
  <c r="J63" i="9"/>
  <c r="U63" i="9"/>
  <c r="V63" i="9"/>
  <c r="AD63" i="9"/>
  <c r="AM63" i="9"/>
  <c r="AN63" i="9"/>
  <c r="AS63" i="9"/>
  <c r="AT63" i="9" s="1"/>
  <c r="J64" i="9"/>
  <c r="U64" i="9"/>
  <c r="V64" i="9"/>
  <c r="AD64" i="9"/>
  <c r="AM64" i="9"/>
  <c r="AN64" i="9"/>
  <c r="AS64" i="9"/>
  <c r="AT64" i="9" s="1"/>
  <c r="J65" i="9"/>
  <c r="U65" i="9"/>
  <c r="V65" i="9"/>
  <c r="AD65" i="9"/>
  <c r="AM65" i="9"/>
  <c r="AN65" i="9"/>
  <c r="AS65" i="9"/>
  <c r="AT65" i="9" s="1"/>
  <c r="J66" i="9"/>
  <c r="U66" i="9"/>
  <c r="V66" i="9"/>
  <c r="AD66" i="9"/>
  <c r="AM66" i="9"/>
  <c r="AN66" i="9"/>
  <c r="AS66" i="9"/>
  <c r="AT66" i="9" s="1"/>
  <c r="J67" i="9"/>
  <c r="U67" i="9"/>
  <c r="V67" i="9"/>
  <c r="AD67" i="9"/>
  <c r="AM67" i="9"/>
  <c r="AN67" i="9"/>
  <c r="AS67" i="9"/>
  <c r="AT67" i="9" s="1"/>
  <c r="J68" i="9"/>
  <c r="U68" i="9"/>
  <c r="V68" i="9"/>
  <c r="AD68" i="9"/>
  <c r="AM68" i="9"/>
  <c r="AN68" i="9"/>
  <c r="AT68" i="9"/>
  <c r="I69" i="9"/>
  <c r="J69" i="9"/>
  <c r="K69" i="9"/>
  <c r="U69" i="9"/>
  <c r="V69" i="9"/>
  <c r="AC69" i="9"/>
  <c r="AE69" i="9"/>
  <c r="AM69" i="9"/>
  <c r="AN69" i="9"/>
  <c r="AS69" i="9"/>
  <c r="AT69" i="9" s="1"/>
  <c r="F70" i="9"/>
  <c r="H70" i="9"/>
  <c r="I70" i="9"/>
  <c r="V70" i="9"/>
  <c r="AM70" i="9"/>
  <c r="AN70" i="9"/>
  <c r="AS70" i="9"/>
  <c r="AT70" i="9" s="1"/>
  <c r="AV70" i="9"/>
  <c r="J71" i="9"/>
  <c r="U71" i="9"/>
  <c r="V71" i="9"/>
  <c r="AD71" i="9"/>
  <c r="AM71" i="9"/>
  <c r="AN71" i="9"/>
  <c r="AS71" i="9"/>
  <c r="AT71" i="9" s="1"/>
  <c r="J72" i="9"/>
  <c r="U72" i="9"/>
  <c r="V72" i="9"/>
  <c r="AD72" i="9"/>
  <c r="AM72" i="9"/>
  <c r="AN72" i="9"/>
  <c r="AS72" i="9"/>
  <c r="AT72" i="9" s="1"/>
  <c r="AM73" i="9"/>
  <c r="AN73" i="9"/>
  <c r="AT73" i="9"/>
  <c r="AV73" i="9"/>
  <c r="U74" i="9"/>
  <c r="V74" i="9"/>
  <c r="AM74" i="9"/>
  <c r="AN74" i="9"/>
  <c r="AT74" i="9"/>
  <c r="AM75" i="9"/>
  <c r="AN75" i="9"/>
  <c r="AS75" i="9"/>
  <c r="AT75" i="9" s="1"/>
  <c r="U76" i="9"/>
  <c r="V76" i="9"/>
  <c r="AM76" i="9"/>
  <c r="AN76" i="9"/>
  <c r="AT76" i="9"/>
  <c r="AV76" i="9"/>
  <c r="U77" i="9"/>
  <c r="V77" i="9"/>
  <c r="AM77" i="9"/>
  <c r="AN77" i="9"/>
  <c r="AT77" i="9"/>
  <c r="AV77" i="9"/>
  <c r="U78" i="9"/>
  <c r="V78" i="9"/>
  <c r="AM78" i="9"/>
  <c r="AN78" i="9"/>
  <c r="AS78" i="9"/>
  <c r="AT78" i="9" s="1"/>
  <c r="AV78" i="9"/>
  <c r="U79" i="9"/>
  <c r="V79" i="9"/>
  <c r="AM79" i="9"/>
  <c r="AN79" i="9"/>
  <c r="AS79" i="9"/>
  <c r="AT79" i="9" s="1"/>
  <c r="AV79" i="9"/>
  <c r="AV83" i="9"/>
  <c r="AT83" i="9"/>
  <c r="AN83" i="9"/>
  <c r="AM83" i="9"/>
  <c r="V83" i="9"/>
  <c r="U83" i="9"/>
  <c r="U82" i="9"/>
  <c r="V82" i="9"/>
  <c r="AM82" i="9"/>
  <c r="AN82" i="9"/>
  <c r="AT82" i="9"/>
  <c r="AV82" i="9"/>
  <c r="U80" i="9"/>
  <c r="U81" i="9"/>
  <c r="V80" i="9"/>
  <c r="V81" i="9"/>
  <c r="AM80" i="9"/>
  <c r="AM81" i="9"/>
  <c r="AN80" i="9"/>
  <c r="AN81" i="9"/>
  <c r="AS80" i="9"/>
  <c r="AT80" i="9" s="1"/>
  <c r="AT81" i="9"/>
  <c r="AV80" i="9"/>
  <c r="AV81" i="9"/>
  <c r="AS6" i="9"/>
  <c r="AT5" i="9"/>
  <c r="F12" i="10"/>
  <c r="D36" i="10"/>
  <c r="AC16" i="4"/>
  <c r="X5" i="2"/>
  <c r="X6" i="2"/>
  <c r="X7" i="2"/>
  <c r="X8" i="2"/>
  <c r="X9" i="2"/>
  <c r="X10" i="2"/>
  <c r="X11" i="2"/>
  <c r="X12" i="2"/>
  <c r="X13" i="2"/>
  <c r="X14" i="2"/>
  <c r="X15" i="2"/>
  <c r="X16" i="2"/>
  <c r="X17" i="2"/>
  <c r="X4" i="2"/>
  <c r="J43" i="4"/>
  <c r="K43" i="4"/>
  <c r="L43" i="4"/>
  <c r="AC43" i="4"/>
  <c r="M24" i="10"/>
  <c r="L24" i="10"/>
  <c r="K24" i="10"/>
  <c r="J24" i="10"/>
  <c r="I24" i="10"/>
  <c r="H24" i="10"/>
  <c r="G24" i="10"/>
  <c r="G25" i="10"/>
  <c r="H25" i="10"/>
  <c r="I25" i="10"/>
  <c r="J25" i="10"/>
  <c r="K25" i="10"/>
  <c r="L25" i="10"/>
  <c r="M25" i="10"/>
  <c r="M26" i="10"/>
  <c r="L26" i="10"/>
  <c r="K26" i="10"/>
  <c r="J26" i="10"/>
  <c r="I26" i="10"/>
  <c r="H26" i="10"/>
  <c r="G26" i="10"/>
  <c r="M27" i="10"/>
  <c r="L27" i="10"/>
  <c r="K27" i="10"/>
  <c r="J27" i="10"/>
  <c r="I27" i="10"/>
  <c r="H27" i="10"/>
  <c r="G27" i="10"/>
  <c r="M34" i="10"/>
  <c r="J30" i="10"/>
  <c r="I30" i="10"/>
  <c r="H30" i="10"/>
  <c r="G30" i="10"/>
  <c r="F30" i="10"/>
  <c r="E30" i="10"/>
  <c r="K30" i="10"/>
  <c r="L30" i="10"/>
  <c r="M30" i="10"/>
  <c r="D30" i="10"/>
  <c r="C30" i="10"/>
  <c r="M23" i="10"/>
  <c r="L23" i="10"/>
  <c r="K23" i="10"/>
  <c r="J23" i="10"/>
  <c r="I23" i="10"/>
  <c r="H23" i="10"/>
  <c r="G23" i="10"/>
  <c r="F23" i="10"/>
  <c r="E23" i="10"/>
  <c r="D23" i="10"/>
  <c r="C23" i="10"/>
  <c r="C25" i="10"/>
  <c r="D25" i="10"/>
  <c r="E25" i="10"/>
  <c r="F25" i="10"/>
  <c r="C26" i="10"/>
  <c r="D26" i="10"/>
  <c r="E26" i="10"/>
  <c r="F26" i="10"/>
  <c r="C27" i="10"/>
  <c r="D27" i="10"/>
  <c r="E27" i="10"/>
  <c r="F27" i="10"/>
  <c r="F24" i="10"/>
  <c r="E24" i="10"/>
  <c r="D24" i="10"/>
  <c r="C24" i="10"/>
  <c r="F22" i="10"/>
  <c r="M22" i="10"/>
  <c r="L22" i="10"/>
  <c r="K22" i="10"/>
  <c r="J22" i="10"/>
  <c r="I22" i="10"/>
  <c r="H22" i="10"/>
  <c r="G22" i="10"/>
  <c r="E22" i="10"/>
  <c r="D22" i="10"/>
  <c r="C22" i="10"/>
  <c r="M21" i="10"/>
  <c r="L21" i="10"/>
  <c r="K21" i="10"/>
  <c r="J21" i="10"/>
  <c r="I21" i="10"/>
  <c r="H21" i="10"/>
  <c r="G21" i="10"/>
  <c r="F21" i="10"/>
  <c r="E21" i="10"/>
  <c r="D21" i="10"/>
  <c r="C21" i="10"/>
  <c r="E31" i="10"/>
  <c r="E32" i="10"/>
  <c r="E33" i="10"/>
  <c r="E34" i="10"/>
  <c r="E35" i="10"/>
  <c r="E36" i="10"/>
  <c r="E28" i="10"/>
  <c r="E29" i="10"/>
  <c r="E20" i="10"/>
  <c r="M19" i="10"/>
  <c r="L19" i="10"/>
  <c r="K19" i="10"/>
  <c r="J19" i="10"/>
  <c r="I19" i="10"/>
  <c r="H19" i="10"/>
  <c r="G19" i="10"/>
  <c r="F19" i="10"/>
  <c r="E19" i="10"/>
  <c r="D19" i="10"/>
  <c r="C19" i="10"/>
  <c r="C18" i="10"/>
  <c r="D18" i="10"/>
  <c r="E18" i="10"/>
  <c r="F18" i="10"/>
  <c r="G18" i="10"/>
  <c r="H18" i="10"/>
  <c r="I18" i="10"/>
  <c r="J18" i="10"/>
  <c r="K18" i="10"/>
  <c r="L18" i="10"/>
  <c r="M18" i="10"/>
  <c r="L17" i="10"/>
  <c r="M17" i="10"/>
  <c r="K17" i="10"/>
  <c r="J17" i="10"/>
  <c r="I17" i="10"/>
  <c r="H17" i="10"/>
  <c r="G17" i="10"/>
  <c r="F17" i="10"/>
  <c r="E17" i="10"/>
  <c r="D17" i="10"/>
  <c r="C17" i="10"/>
  <c r="E16" i="10"/>
  <c r="E15" i="10"/>
  <c r="M14" i="10"/>
  <c r="L14" i="10"/>
  <c r="K14" i="10"/>
  <c r="J14" i="10"/>
  <c r="I14" i="10"/>
  <c r="H14" i="10"/>
  <c r="G14" i="10"/>
  <c r="F14" i="10"/>
  <c r="E14" i="10"/>
  <c r="D14" i="10"/>
  <c r="C14" i="10"/>
  <c r="M13" i="10"/>
  <c r="L13" i="10"/>
  <c r="K13" i="10"/>
  <c r="J13" i="10"/>
  <c r="I13" i="10"/>
  <c r="H13" i="10"/>
  <c r="G13" i="10"/>
  <c r="F13" i="10"/>
  <c r="E13" i="10"/>
  <c r="D13" i="10"/>
  <c r="C13" i="10"/>
  <c r="M12" i="10"/>
  <c r="L12" i="10"/>
  <c r="K12" i="10"/>
  <c r="J12" i="10"/>
  <c r="I12" i="10"/>
  <c r="H12" i="10"/>
  <c r="G12" i="10"/>
  <c r="E12" i="10"/>
  <c r="D12" i="10"/>
  <c r="C12" i="10"/>
  <c r="L11" i="10"/>
  <c r="K11" i="10"/>
  <c r="J11" i="10"/>
  <c r="I11" i="10"/>
  <c r="H11" i="10"/>
  <c r="G11" i="10"/>
  <c r="F11" i="10"/>
  <c r="M11" i="10"/>
  <c r="C11" i="10"/>
  <c r="E11" i="10"/>
  <c r="D11" i="10"/>
  <c r="E10" i="10"/>
  <c r="M8" i="10"/>
  <c r="L8" i="10"/>
  <c r="K8" i="10"/>
  <c r="J8" i="10"/>
  <c r="I8" i="10"/>
  <c r="H8" i="10"/>
  <c r="G8" i="10"/>
  <c r="M9" i="10"/>
  <c r="L9" i="10"/>
  <c r="K9" i="10"/>
  <c r="J9" i="10"/>
  <c r="I9" i="10"/>
  <c r="H9" i="10"/>
  <c r="G9" i="10"/>
  <c r="F9" i="10"/>
  <c r="F8" i="10"/>
  <c r="E9" i="10"/>
  <c r="D9" i="10"/>
  <c r="C9" i="10"/>
  <c r="E8" i="10"/>
  <c r="C8" i="10"/>
  <c r="D8" i="10"/>
  <c r="E7" i="10"/>
  <c r="E6" i="10"/>
  <c r="E4" i="10"/>
  <c r="F5" i="10"/>
  <c r="G5" i="10"/>
  <c r="H5" i="10"/>
  <c r="I5" i="10"/>
  <c r="J5" i="10"/>
  <c r="K5" i="10"/>
  <c r="L5" i="10"/>
  <c r="M5" i="10"/>
  <c r="E5" i="10"/>
  <c r="C5" i="10"/>
  <c r="D5" i="10"/>
  <c r="J4" i="10"/>
  <c r="I4" i="10"/>
  <c r="H4" i="10"/>
  <c r="F4" i="10"/>
  <c r="K4" i="10"/>
  <c r="L4" i="10"/>
  <c r="M4" i="10"/>
  <c r="D4" i="10"/>
  <c r="C4" i="10"/>
  <c r="C7" i="10"/>
  <c r="D7" i="10"/>
  <c r="C6" i="10"/>
  <c r="D6" i="10"/>
  <c r="C10" i="10"/>
  <c r="D10" i="10"/>
  <c r="M36" i="10"/>
  <c r="L36" i="10"/>
  <c r="K36" i="10"/>
  <c r="J36" i="10"/>
  <c r="I36" i="10"/>
  <c r="H36" i="10"/>
  <c r="G36" i="10"/>
  <c r="F36" i="10"/>
  <c r="C36" i="10"/>
  <c r="M35" i="10"/>
  <c r="L35" i="10"/>
  <c r="K35" i="10"/>
  <c r="J35" i="10"/>
  <c r="I35" i="10"/>
  <c r="H35" i="10"/>
  <c r="G35" i="10"/>
  <c r="F35" i="10"/>
  <c r="D35" i="10"/>
  <c r="C35" i="10"/>
  <c r="L34" i="10"/>
  <c r="K34" i="10"/>
  <c r="J34" i="10"/>
  <c r="I34" i="10"/>
  <c r="H34" i="10"/>
  <c r="G34" i="10"/>
  <c r="F34" i="10"/>
  <c r="C34" i="10"/>
  <c r="D34" i="10"/>
  <c r="M33" i="10"/>
  <c r="L33" i="10"/>
  <c r="K33" i="10"/>
  <c r="J33" i="10"/>
  <c r="I33" i="10"/>
  <c r="H33" i="10"/>
  <c r="G33" i="10"/>
  <c r="F33" i="10"/>
  <c r="D33" i="10"/>
  <c r="C33" i="10"/>
  <c r="M32" i="10"/>
  <c r="L32" i="10"/>
  <c r="K32" i="10"/>
  <c r="J32" i="10"/>
  <c r="I32" i="10"/>
  <c r="H32" i="10"/>
  <c r="G32" i="10"/>
  <c r="F32" i="10"/>
  <c r="C32" i="10"/>
  <c r="D32" i="10"/>
  <c r="M31" i="10"/>
  <c r="L31" i="10"/>
  <c r="K31" i="10"/>
  <c r="J31" i="10"/>
  <c r="I31" i="10"/>
  <c r="H31" i="10"/>
  <c r="G31" i="10"/>
  <c r="F31" i="10"/>
  <c r="C31" i="10"/>
  <c r="D31" i="10"/>
  <c r="C29" i="10"/>
  <c r="D29" i="10"/>
  <c r="F29" i="10"/>
  <c r="G29" i="10"/>
  <c r="H29" i="10"/>
  <c r="I29" i="10"/>
  <c r="J29" i="10"/>
  <c r="K29" i="10"/>
  <c r="L29" i="10"/>
  <c r="M29" i="10"/>
  <c r="M28" i="10"/>
  <c r="L28" i="10"/>
  <c r="K28" i="10"/>
  <c r="J28" i="10"/>
  <c r="I28" i="10"/>
  <c r="H28" i="10"/>
  <c r="G28" i="10"/>
  <c r="F28" i="10"/>
  <c r="C28" i="10"/>
  <c r="D28" i="10"/>
  <c r="L20" i="10"/>
  <c r="K20" i="10"/>
  <c r="J20" i="10"/>
  <c r="I20" i="10"/>
  <c r="H20" i="10"/>
  <c r="G20" i="10"/>
  <c r="F20" i="10"/>
  <c r="M20" i="10"/>
  <c r="C20" i="10"/>
  <c r="D20" i="10"/>
  <c r="D16" i="10"/>
  <c r="M16" i="10"/>
  <c r="L16" i="10"/>
  <c r="K16" i="10"/>
  <c r="J16" i="10"/>
  <c r="I16" i="10"/>
  <c r="H16" i="10"/>
  <c r="G16" i="10"/>
  <c r="F16" i="10"/>
  <c r="C16" i="10"/>
  <c r="D15" i="10"/>
  <c r="C15" i="10"/>
  <c r="F15" i="10"/>
  <c r="M15" i="10"/>
  <c r="L15" i="10"/>
  <c r="K15" i="10"/>
  <c r="J15" i="10"/>
  <c r="I15" i="10"/>
  <c r="H15" i="10"/>
  <c r="G15" i="10"/>
  <c r="M10" i="10"/>
  <c r="L10" i="10"/>
  <c r="K10" i="10"/>
  <c r="J10" i="10"/>
  <c r="I10" i="10"/>
  <c r="H10" i="10"/>
  <c r="G10" i="10"/>
  <c r="F10" i="10"/>
  <c r="M7" i="10"/>
  <c r="L7" i="10"/>
  <c r="K7" i="10"/>
  <c r="J7" i="10"/>
  <c r="I7" i="10"/>
  <c r="H7" i="10"/>
  <c r="G7" i="10"/>
  <c r="F7" i="10"/>
  <c r="F6" i="10"/>
  <c r="H6" i="10"/>
  <c r="G6" i="10"/>
  <c r="I6" i="10"/>
  <c r="M6" i="10"/>
  <c r="L6" i="10"/>
  <c r="K6" i="10"/>
  <c r="J6" i="10"/>
  <c r="J5" i="2"/>
  <c r="J6" i="2"/>
  <c r="J7" i="2"/>
  <c r="J8" i="2"/>
  <c r="J9" i="2"/>
  <c r="J10" i="2"/>
  <c r="J11" i="2"/>
  <c r="J12" i="2"/>
  <c r="J13" i="2"/>
  <c r="J14" i="2"/>
  <c r="J15" i="2"/>
  <c r="J16" i="2"/>
  <c r="J17" i="2"/>
  <c r="J4" i="2"/>
  <c r="I4" i="2"/>
  <c r="I5" i="2"/>
  <c r="I6" i="2"/>
  <c r="I7" i="2"/>
  <c r="I8" i="2"/>
  <c r="I9" i="2"/>
  <c r="I10" i="2"/>
  <c r="I11" i="2"/>
  <c r="I12" i="2"/>
  <c r="I13" i="2"/>
  <c r="I14" i="2"/>
  <c r="I15" i="2"/>
  <c r="I16" i="2"/>
  <c r="I17" i="2"/>
  <c r="D5" i="2"/>
  <c r="D6" i="2"/>
  <c r="D7" i="2"/>
  <c r="D8" i="2"/>
  <c r="D9" i="2"/>
  <c r="D10" i="2"/>
  <c r="D11" i="2"/>
  <c r="D12" i="2"/>
  <c r="D13" i="2"/>
  <c r="D14" i="2"/>
  <c r="D15" i="2"/>
  <c r="D16" i="2"/>
  <c r="D17" i="2"/>
  <c r="D4" i="2"/>
  <c r="AS7" i="9"/>
  <c r="J7" i="9"/>
  <c r="J6" i="9"/>
  <c r="J5" i="9"/>
  <c r="J42" i="4"/>
  <c r="K42" i="4"/>
  <c r="L42" i="4"/>
  <c r="AC42" i="4"/>
  <c r="AN6" i="9"/>
  <c r="AN7" i="9"/>
  <c r="F1" i="9"/>
  <c r="AM6" i="9"/>
  <c r="AM7" i="9"/>
  <c r="AC3" i="4"/>
  <c r="AC4" i="4"/>
  <c r="AC5" i="4"/>
  <c r="AC6" i="4"/>
  <c r="AC7" i="4"/>
  <c r="AC8" i="4"/>
  <c r="AC9" i="4"/>
  <c r="AC10" i="4"/>
  <c r="AC11" i="4"/>
  <c r="AC12" i="4"/>
  <c r="AC13" i="4"/>
  <c r="AC14" i="4"/>
  <c r="AC15"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L5" i="9"/>
  <c r="AK5" i="9"/>
  <c r="AH5" i="9"/>
  <c r="AD7" i="9"/>
  <c r="AD6" i="9"/>
  <c r="AD5" i="9"/>
  <c r="W5" i="9"/>
  <c r="X5" i="9"/>
  <c r="V7" i="9"/>
  <c r="V6" i="9"/>
  <c r="V5" i="9"/>
  <c r="U5" i="9"/>
  <c r="U7" i="9"/>
  <c r="U6" i="9"/>
  <c r="K5" i="9"/>
  <c r="H5" i="9"/>
  <c r="G5" i="9"/>
  <c r="L8" i="4"/>
  <c r="J3" i="4"/>
  <c r="K3" i="4" s="1"/>
  <c r="J4" i="4"/>
  <c r="K4" i="4" s="1"/>
  <c r="J5" i="4"/>
  <c r="K5" i="4" s="1"/>
  <c r="J6" i="4"/>
  <c r="J7" i="4"/>
  <c r="J12" i="4"/>
  <c r="J13" i="4"/>
  <c r="J14" i="4"/>
  <c r="J15" i="4"/>
  <c r="K15" i="4" s="1"/>
  <c r="J16" i="4"/>
  <c r="K16" i="4" s="1"/>
  <c r="J20" i="4"/>
  <c r="K20" i="4" s="1"/>
  <c r="J21" i="4"/>
  <c r="K21" i="4" s="1"/>
  <c r="J22" i="4"/>
  <c r="K22" i="4" s="1"/>
  <c r="J23" i="4"/>
  <c r="K23" i="4" s="1"/>
  <c r="J24" i="4"/>
  <c r="K24" i="4" s="1"/>
  <c r="J25" i="4"/>
  <c r="K25" i="4" s="1"/>
  <c r="J26" i="4"/>
  <c r="K26" i="4" s="1"/>
  <c r="J27" i="4"/>
  <c r="J28" i="4"/>
  <c r="K28" i="4" s="1"/>
  <c r="J29" i="4"/>
  <c r="K29" i="4" s="1"/>
  <c r="J30" i="4"/>
  <c r="K30" i="4" s="1"/>
  <c r="L30" i="4" s="1"/>
  <c r="J31" i="4"/>
  <c r="K31" i="4" s="1"/>
  <c r="J41" i="4"/>
  <c r="K41" i="4" s="1"/>
  <c r="L41" i="4" s="1"/>
  <c r="I5" i="9"/>
  <c r="AV5" i="9"/>
  <c r="AT7" i="9" l="1"/>
  <c r="AT6" i="9"/>
  <c r="AT14" i="9"/>
  <c r="AT13" i="9"/>
  <c r="AT12" i="9"/>
  <c r="AT11" i="9"/>
  <c r="AT10" i="9"/>
  <c r="AT9" i="9"/>
  <c r="AT8" i="9"/>
  <c r="AM34" i="9"/>
  <c r="AM23" i="9"/>
  <c r="AN15" i="9"/>
  <c r="AD69" i="9"/>
  <c r="AM17" i="9"/>
  <c r="AN55" i="9"/>
  <c r="AM22" i="9"/>
  <c r="AN61" i="9"/>
  <c r="AD58" i="9"/>
  <c r="AM49" i="9"/>
  <c r="AN34" i="9"/>
  <c r="AM16" i="9"/>
  <c r="AN17" i="9"/>
  <c r="AM29" i="9"/>
  <c r="AM61" i="9"/>
  <c r="AM59" i="9"/>
  <c r="AM55" i="9"/>
  <c r="AN49" i="9"/>
  <c r="AM48" i="9"/>
  <c r="AN23" i="9"/>
  <c r="AM15" i="9"/>
  <c r="AN29" i="9"/>
  <c r="AN16" i="9"/>
  <c r="AN22" i="9"/>
  <c r="AN59" i="9"/>
  <c r="AN48" i="9"/>
  <c r="AN5" i="9"/>
  <c r="AM5" i="9"/>
  <c r="L29" i="4"/>
  <c r="L28" i="4"/>
  <c r="L25" i="4"/>
  <c r="K14" i="4"/>
  <c r="L14" i="4" s="1"/>
  <c r="K13" i="4"/>
  <c r="L13" i="4" s="1"/>
  <c r="L24" i="4"/>
  <c r="K12" i="4"/>
  <c r="L12" i="4" s="1"/>
  <c r="L26" i="4"/>
  <c r="K27" i="4"/>
  <c r="L27" i="4" s="1"/>
  <c r="K7" i="4"/>
  <c r="L7" i="4" s="1"/>
  <c r="L21" i="4"/>
  <c r="K6" i="4"/>
  <c r="L6" i="4" s="1"/>
  <c r="L16" i="4"/>
  <c r="L15" i="4"/>
  <c r="L5" i="4"/>
  <c r="L31" i="4"/>
  <c r="L22" i="4"/>
  <c r="L3" i="4"/>
  <c r="L20" i="4"/>
  <c r="L23" i="4"/>
  <c r="L4" i="4"/>
  <c r="L9" i="4"/>
  <c r="C1" i="9"/>
  <c r="K4" i="2" l="1"/>
  <c r="B18" i="2" l="1"/>
  <c r="D18" i="2"/>
  <c r="U22" i="2"/>
  <c r="V22" i="2"/>
  <c r="O22" i="2"/>
  <c r="P22" i="2"/>
  <c r="R22" i="2"/>
  <c r="S22" i="2"/>
  <c r="T22" i="2"/>
  <c r="N22" i="2"/>
  <c r="K5" i="2"/>
  <c r="K6" i="2"/>
  <c r="K7" i="2"/>
  <c r="K8" i="2"/>
  <c r="K9" i="2"/>
  <c r="K10" i="2"/>
  <c r="K11" i="2"/>
  <c r="K12" i="2"/>
  <c r="K13" i="2"/>
  <c r="K14" i="2"/>
  <c r="K15" i="2"/>
  <c r="K16" i="2"/>
  <c r="K17" i="2"/>
  <c r="C1" i="2" l="1"/>
  <c r="L4" i="2" s="1"/>
  <c r="M4" i="2" s="1"/>
  <c r="L8" i="2" l="1"/>
  <c r="M8" i="2" s="1"/>
  <c r="L7" i="2"/>
  <c r="M7" i="2" s="1"/>
  <c r="L6" i="2"/>
  <c r="M6" i="2" s="1"/>
  <c r="L5" i="2"/>
  <c r="M5" i="2" s="1"/>
  <c r="L16" i="2"/>
  <c r="M16" i="2" s="1"/>
  <c r="L15" i="2"/>
  <c r="M15" i="2" s="1"/>
  <c r="L14" i="2"/>
  <c r="M14" i="2" s="1"/>
  <c r="L13" i="2"/>
  <c r="M13" i="2" s="1"/>
  <c r="L12" i="2"/>
  <c r="M12" i="2" s="1"/>
  <c r="L11" i="2"/>
  <c r="M11" i="2" s="1"/>
  <c r="L10" i="2"/>
  <c r="M10" i="2" s="1"/>
  <c r="L9" i="2"/>
  <c r="M9" i="2" s="1"/>
  <c r="L17" i="2"/>
  <c r="M1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VICKY FIORELLA SANCHEZ ROJAS</author>
  </authors>
  <commentList>
    <comment ref="A4" authorId="0" shapeId="0" xr:uid="{CFE178C7-F7A2-4DA8-85B6-D8456C7E0314}">
      <text>
        <r>
          <rPr>
            <sz val="11"/>
            <color theme="1"/>
            <rFont val="Calibri"/>
            <family val="2"/>
            <scheme val="minor"/>
          </rPr>
          <t xml:space="preserve">Identificador del requerimiento. Proviene del registro en el Backlog.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tc={FF279E41-0078-4CA6-A3A5-D009AF8D9D11}</author>
    <author>tc={A2C47207-7E4D-4B9F-9BAF-105F9A2A2CB1}</author>
    <author>tc={52A6BE5B-52BC-462C-8B6D-27A16526DE3C}</author>
  </authors>
  <commentList>
    <comment ref="C12" authorId="0" shapeId="0" xr:uid="{FF279E41-0078-4CA6-A3A5-D009AF8D9D11}">
      <text>
        <t>[Threaded comment]
Your version of Excel allows you to read this threaded comment; however, any edits to it will get removed if the file is opened in a newer version of Excel. Learn more: https://go.microsoft.com/fwlink/?linkid=870924
Comment:
    1</t>
      </text>
    </comment>
    <comment ref="C14" authorId="1" shapeId="0" xr:uid="{A2C47207-7E4D-4B9F-9BAF-105F9A2A2CB1}">
      <text>
        <t>[Threaded comment]
Your version of Excel allows you to read this threaded comment; however, any edits to it will get removed if the file is opened in a newer version of Excel. Learn more: https://go.microsoft.com/fwlink/?linkid=870924
Comment:
    2</t>
      </text>
    </comment>
    <comment ref="C16" authorId="2" shapeId="0" xr:uid="{52A6BE5B-52BC-462C-8B6D-27A16526DE3C}">
      <text>
        <t>[Threaded comment]
Your version of Excel allows you to read this threaded comment; however, any edits to it will get removed if the file is opened in a newer version of Excel. Learn more: https://go.microsoft.com/fwlink/?linkid=870924
Comment:
    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VICKY FIORELLA SANCHEZ ROJAS</author>
  </authors>
  <commentList>
    <comment ref="A1" authorId="0" shapeId="0" xr:uid="{5A40EC64-9A95-4725-A2AC-007F8153244B}">
      <text>
        <r>
          <rPr>
            <sz val="11"/>
            <color theme="1"/>
            <rFont val="Calibri"/>
            <family val="2"/>
            <scheme val="minor"/>
          </rPr>
          <t xml:space="preserve">Identificador del requerimiento. Proviene del registro en el Backlog.
</t>
        </r>
      </text>
    </comment>
  </commentList>
</comments>
</file>

<file path=xl/sharedStrings.xml><?xml version="1.0" encoding="utf-8"?>
<sst xmlns="http://schemas.openxmlformats.org/spreadsheetml/2006/main" count="5497" uniqueCount="1564">
  <si>
    <t>N°</t>
  </si>
  <si>
    <t>Código de Planeamiento</t>
  </si>
  <si>
    <t>Nombre del Proyecto</t>
  </si>
  <si>
    <t>Alcance del Proyecto</t>
  </si>
  <si>
    <t>Gerencia Líder</t>
  </si>
  <si>
    <t>Líder del Proyecto</t>
  </si>
  <si>
    <t>Usuario Funcional</t>
  </si>
  <si>
    <t>Gestor de Planeamiento</t>
  </si>
  <si>
    <t>Presupuesto asignado</t>
  </si>
  <si>
    <t>Valor Ganado (EV)</t>
  </si>
  <si>
    <t>Costo Actual (AC)</t>
  </si>
  <si>
    <t>CPI</t>
  </si>
  <si>
    <t>Fecha Comité Ejec. Proy.</t>
  </si>
  <si>
    <t>N° Acta Comité
(aprobación)</t>
  </si>
  <si>
    <t>Dimensión</t>
  </si>
  <si>
    <t>Objetivo</t>
  </si>
  <si>
    <t>Año Inicio Planificado</t>
  </si>
  <si>
    <t>Año Fin Planificado</t>
  </si>
  <si>
    <t>N° Solicitudes de cambio</t>
  </si>
  <si>
    <t>Componente Tecnológico</t>
  </si>
  <si>
    <t>Transformación Digital</t>
  </si>
  <si>
    <t>Cartera</t>
  </si>
  <si>
    <t>Anexo 1 
(Modelo de Negocio)</t>
  </si>
  <si>
    <t>Líder Técnico</t>
  </si>
  <si>
    <t>Fecha Inicio</t>
  </si>
  <si>
    <t>Fecha Fin</t>
  </si>
  <si>
    <t>% Avance Planificado</t>
  </si>
  <si>
    <t>% Avance ejecutado</t>
  </si>
  <si>
    <t>Desv. %</t>
  </si>
  <si>
    <t>Estado</t>
  </si>
  <si>
    <t>SEGUIMIENTO  
(Planeamiento y Control de Gestión)</t>
  </si>
  <si>
    <t>Iniciativa</t>
  </si>
  <si>
    <t>Nuevo Pagalo.pe</t>
  </si>
  <si>
    <t xml:space="preserve">Implementar una nueva web que cumpla con características clave, como la simplicidad, la intuitividad y la modernidad. Permitirá a los clientes y ciudadanos realizar de forma rápida y eficiente sus Operaciones de pago de tasas de manera virtual. </t>
  </si>
  <si>
    <t>Banca Digital</t>
  </si>
  <si>
    <t>Lenin Valencia</t>
  </si>
  <si>
    <t>-</t>
  </si>
  <si>
    <t>No definido</t>
  </si>
  <si>
    <t>No indica</t>
  </si>
  <si>
    <t>Servicio a los Clientes</t>
  </si>
  <si>
    <t>De cara al ciudadano</t>
  </si>
  <si>
    <t>Si</t>
  </si>
  <si>
    <t>No</t>
  </si>
  <si>
    <t>Nuevo Págalo</t>
  </si>
  <si>
    <t>Lupe Mayo</t>
  </si>
  <si>
    <t>04. Cerrado</t>
  </si>
  <si>
    <t>23/05/24 Mediante acta de comité estratégico de proyectos de fecha 06.05.24 se informa que se acordo que el proyecto pasa a estado de "Cerrado", por lo cual deben presentar acta de cierre y lecciones aprendidas. 
03/05/2024 Proyecto se encuentra a la espera del Anexo 1
08/04/24 Se realizó cambio de fecha de fin de proyecto de 2024 a 2025
22/03/24 Pendiente que el usuario remita modelo de negocio para registrar el Proyecto en la demanda estrategica priorizada.
Modelo de Negocio Observado</t>
  </si>
  <si>
    <t>Nuevo Plataforma App Mobile BN</t>
  </si>
  <si>
    <t>Implementar una nueva plataforma APP Mobile con funcionalidades adicionales (QR, Pagos) e Integrar más servicios varios a pagar, para ampliar el uso del dinero por canales digitales. A fin de brindar a los usuarios una aplicación y plataforma virtual que les permita migrar sus Operaciones presenciales hacia entornos digitales.</t>
  </si>
  <si>
    <t>Nuevo APP</t>
  </si>
  <si>
    <t>Alex Valencia</t>
  </si>
  <si>
    <t>23/05/24 Mediante acta de comité estratégico de proyectos con fecha 06.05.24 se informa que se aprobo el control de cambios del proyecto y se unificara con Hombe Banking "Multired Virtual", se debe presentar nuevo cronograma- Unifcado.
16/05/2024 Mediante correo de Judit Nino se solicita la revisión de TDRs para su posterior recolección de firmas 
15/05/2024 Por correo de Roger Guzman se menciona que se ha completado la abosluciòn de consultas de los participantes el proceso de contrataciòn.Entrega TDR y Excel de consultas.
03/05/2024 En absolución de consultas del proceso Logístico 
24/04/2024 Mediante correo remitido por Jorge Guzman se indica los resultados de la reunión del día 19.04 puesto que  existen consultas técnicas en el proceso de contratación en la fusión del proyecto y estas deben ser centralizadas y distribuidas por la Oficina de Proyectos y Procesos de TIC. 
08/04/24 Se cambia las fechas de inicio y Fin por medidas de control de cambios y unificación de proyecto con "Nueva Homebanking Multired Virtual"
22/03/24 Isabel informa que los Proyectos del Nuevo APP y MV se van a fusionar como un solo proyecto, no será atendido por Fábrica sino se contratará un proveedor.  Se observa los entregables asociados a API que se encuentran al 100%, se debe validar si son solo definiciones o implementaciones para sincerar el 41% de avance. Isabel coordinará con Bca DIgital la gestión de cambio de ser necesario. Se debe actualizar además la fecha de inicio y fin en caso corresponda. Isabel agendará una reunión previa con usuario, planemiento y TI. Pendiente que el usuario remita modelo de negocio para registrar el Proyecto en la demanda estrategica priorizada.</t>
  </si>
  <si>
    <t>Nuevo Home Banking "Multired Virtual"</t>
  </si>
  <si>
    <t>Rediseño e implementación de una Nueva Plataforma con funcionalidades adicionales (Pagos e integrar más servicios varios a pagar), ampliar el uso del dinero por canales digitales. A fin de brindar a los usuarios peruanos una aplicación y plataforma virtual que les permita migrar sus Operaciones presenciales hacia entornos digitales.</t>
  </si>
  <si>
    <t>Nuevo HB</t>
  </si>
  <si>
    <t>23/05/24 Mediante acta de comité estratégico de proyectos con fecha 06.05.24 se informa que se aprobo el control de cambios del proyecto y se unificara con Hombe Banking "Multired Virtual", se debe presentar nuevo cronograma- Unifcado.
16/05/2024 Mediante correo de Judit Nino se solicita la revisión de TDRs para su posterior recolección de firmas 
15/05/2024 Por correo de Roger Guzman se menciona que se ha completado la abosluciòn de consultas de los participantes el proceso de contrataciòn.Entrega TDR y Excel de consultas.
03/05/2024 En absolución de consultas del proceso Logístico
24/04/2024 Mediante correo remitido por Jorge Guzman se indica los resultados de la reunión del día 19.04 puesto que existen consultas técnicas en el proceso de contratación en la fusión del proyecto y estas deben ser centralizadas y distribuidas por la Oficina de Proyectos y Procesos de TIC.
08/04/024 Existe un control de cambios y un plan de unificación con el proyecto "Nuevo APP BN"
22/03/24 Idem Nuevo APP BN</t>
  </si>
  <si>
    <t>Nuevo Agente Corresponsal / Pago de Tasas</t>
  </si>
  <si>
    <t>Implementación de una nueva plataforma móvil para la administración y gestión de la Red de Agentes Corresponsales. Permite realizar Operaciones como depósitos, retiros y pagos de tasas a través de dispositivos móviles, brindando mayor independencia y control al Banco en la atención y configuración de los agentes. Mejora la eficiencia y calidad del servicio, ofreciendo una experiencia más conveniente para los clientes.</t>
  </si>
  <si>
    <t>Alexis Junchaya</t>
  </si>
  <si>
    <t>Nuevo Agente</t>
  </si>
  <si>
    <t>Juan Ortega</t>
  </si>
  <si>
    <t>23/05/24 Mediante acta de comité estratégico de proyectos con fecha 06.05.24 se informa que se acordo que el proyecto pasa a estado de "Cerrado" ,  por lo cual deben presentar acta de cierre y lecciones aprendidas. 
03/05/2024 A la espera de del Anexo 1 Modelo de Negocio
08/04/24 Se cambia la fecha de Fin de proyecto de 2024 a 2025
20/3/2024 Usuario se encuentran avanzando con su primer entregable que son las TDRs.  Pendiente que el usuario remita modelo de negocio para registrar el Proyecto en la demanda estrategica priorizada.
Modelo de Negocio Observado</t>
  </si>
  <si>
    <t>PROKDD-EO05-23-4</t>
  </si>
  <si>
    <t>Pruebas de Concepto - Quiosko digital dispensador de tarjetas</t>
  </si>
  <si>
    <t>La implementacion de los quioscos digitales brindará terminales de autoservicio para que los clientes puedan interactuar con informacion y contenido digital con el fin de facilitar y acelerar sus solicitudes y requerimientos, los cuales actualmente se hacen de forma presencial.</t>
  </si>
  <si>
    <t>Marita Carbajo</t>
  </si>
  <si>
    <t>Por definir</t>
  </si>
  <si>
    <t>Noe Figueroa</t>
  </si>
  <si>
    <t>S/ 1.659,450</t>
  </si>
  <si>
    <t>Acta Nº8-2023</t>
  </si>
  <si>
    <t>Sí</t>
  </si>
  <si>
    <t>Quiosco Multimedia</t>
  </si>
  <si>
    <t>Jorge Campos</t>
  </si>
  <si>
    <t>02. En Curso</t>
  </si>
  <si>
    <t>14/04/2026: En el mes de marzo, al cierre se vienen realizando pruebas funcionales y técnicas en ambiente de desarrollo; sin embargo, las pruebas funcionales presentaron retrasos por inestabilidad del ambiente y demoras en levantar observaciones por parte de TI.
23/03/2026: Al cierre del mes de febrero de 2026 se vienen realizando pruebas funcionales y técnicas en ambiente de desarrollo.
20/03/2026: Según el acta de reunión del comité de proyectos del mes de enero, el proyecto presentó un ligero retraso al cierre de diciembre 2025, no completándose las pruebas en ambiente de BN Banco. El proveedor ha solicitado 3 ampliaciones a la fecha y mantiene un atraso de un mes en las pruebas de desarrollo, lo cual impactará en el cronograma planificado actual.
25/02/2026: Al cierre de enero de 2026 se registró un retraso atribuible al proveedor que impidió completar la implementación del ambiente de desarrollo para las pruebas de BN Banco. El proveedor solicitó tres ampliaciones de plazo (12, 28 y 13 días), aprobándose 12, 18 y 8 días, respectivamente; sin embargo, mantiene un retraso aproximado de un mes, lo que afecta el cronograma del proyecto, por lo que se viene preparando un control de cambios para sincerar los plazos.
21/01/2026: Se han concluido la configuración y desarrollo de la aplicación en el equipo, dando lugar a las coordinaciones e inicio de las pruebas en ambiente de desarrollo.
30/11/2025: Se han concluido la revisión de las APIS desarrolladas para la integración del quiosco con el CORE Banco; se están haciendo las coordinaciones para el inicio de las pruebas en ambiente de desarrollo (preparación ambiente).
31/10/2025: Según la información enviada de Planeamiento en el mes de Octubre se precisa lo siguiente: "Al cierre de octubre, el Quiosco Multimedia trasladado al laboratorio del Banco se encuentra en proceso de instalación, configuración y desarrollo de la aplicación, en coordinación con las áreas técnicas y funcionales. Se registraron retrasos en actividades del Hito 3 relacionadas con la integración y pruebas del sistema; sin embargo, se prevé su recuperación mediante la ejecución en paralelo de los entregables “Configuración de Bienes y Pase a Producción” y “Desarrollo y Puesta en Producción de Transacciones”.
Se envió 01 quioscos adicional en el laboratorio.
En ese contexto, se viene solicitando un control de cambio para sincerar los plazos y optimizar la gestión del cronograma, asegurando la continuidad y calidad del proyecto."
30/09/2025: Según la información enviada de Planeamiento en el mes de Septiembre se precisa lo siguiente: Al cierre de Septiembre, el Quiosco Multimedia trasladado al laboratorio del Banco se encuentra en proceso de instalación, configuración y desarrollo de la aplicación, en coordinación con las áreas técnicas y funcionales. Se registraron retrasos en actividades del Hito 3 relacionadas con la integración y pruebas del sistema. Sin embargo, se prevé su recuperación mediante la ejecución en paralelo de los entregables “Configuración de Bienes y Pase a Producción” y “Desarrollo y Puesta en Producción de Transacciones”. En ese contexto, se viene solicitando un control de cambio para sincerar los plazos y optimizar la gestión del cronograma, asegurando la continuidad y calidad del proyecto.
16/09/2025: Según la información enviada de Planeamiento en el mes de Agosto se precisa lo siguiente: Al cierre de agosto, el Quiosco multimedia trasladado al laboratorio del Banco (Sede principal), se encuentra en proceso de instalación, configuración y desarrollo de la aplicación por parte del contratista (hardware y software), en coordinación con las áreas técnica y funcional. Si bien se han registrado retrasos en las actividades: Instalación de Quioscos en laboratorio, Construcción Transacción Reposición y actualización de datos, Pruebas en ambiente de desarrollo, Acta de Conformidad en Desarrollo y Pruebas en ambiente de certificación del proyecto, se prevé su recuperación mediante la ejecución en paralelo de las primeras dos actividades de los siguientes entregables planificados. 
·  Entregable: Configuración de Bienes y Pase a Producción 
·  Entregable: Desarrollo y puesta en producción de transacciones 
La ejecución simultánea de estas actividades permitirá optimizar los tiempos, reducir el impacto de los retrasos registrados y asegurar la continuidad del cronograma.
18/08/25: Según la información enviada de Planeamiento en el mes de Julio se precisa lo siguiente: Al cierre del mes de julio, se culminó la verificación de los bienes.(03 quioscos multimedia) que se encuentran internados en el almacén del Banco.
18/07/25: Al 30.06.25, se vienen realizando actividades relacionadas a la verificación de los bienes que se encuentran internados en el almacén del Banco. Se estima concluir con la verificación en el mes de agosto de acuerdo a lo planificado. Asimismo, se concluyó el modelo funcional, lo que corresponde a la actividad interna paralela que se efectúa en coordinación con el proveedor fabricante de los Quioscos.
07/07/2025: Los Informes de Conformidad de equipos se encuentran en proceso de emision para ser reportados a Banca Digital.
11/06/2025:Según la información enviada de Planeamiento en el mes de Mayo se precisa lo siguiente:
Las áreas de Sección Soporte de la Infraestructura Tecnológica y Atención a Usuario, Sección Sistemas Bancarios, Sección Canales Presenciales y Subgerencia de Innovación digital ya verificaron los equipos de quioscos multimedia ingresados al almacén del Banco y está en proceso la firma de las actas de conformidad respectivas de cada área.
Se espera tener el flujo funcional cerrado, para ello se esta realizando las reuniones de entendimiento entre las áreas responsables.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07/05/2025: Según la información enviada por Planeamiento mediante correo: Se encuentra en proceso la definición del esquema de integración de los quioscos con el core del Banco para la transacción de reposición de tarjeta, lo que permitirá continuar con las actividades que se tenían planificadas, 
31/12/2024: Se completó la firma del contrato con la empresa ganadora y se tiene un cronograma con control de cambios aprobado por el Comité de proyectos
23/05/24 Mediante comité estratégico del proyecto con fecha 06.05.24 se informa que se aprobó el control de cambios, que implica un nuevo cronograma; el alcance se mantiene.
15/05/2024 Mediante correo de Marita Carbajo entrega ETMS actualizados y deja constancia que con memo N°568-2024-BN-2662 hay consultas de Belltech de ser necesarias agregarlas a ETMS.
02/05/2024 Mediante correo de Hector Sevalla se da a conocer los temas e implementaciones que puede tener el proyecto, se deja en conocimiento la inclusión a un sistema ESP/LINK, aumento de funcionalidades de ATM e inclusión de BEVERTEC. A la espera de agendarse reunión para 02.05 y consolidar los temas pendientes.
26/04/2024 Mediante correo se espera la actualización del documento Anexo 1 que debe ser remitido por el área correspondiente por tener observaciones en el nombre del proyecto y falta de fecha del proyecto. Asi mismo, se espera la solicitud de validación del cronograma del proyecto. Mediante correo se pide reagendar reunión y confirmar la asistencia a esta del Subgerente de Construcción de aplicaciones.
25/04/2024 Mediante correo de Marita Carbajo se da conocimiento de la consulta en coordinacion de Construcción de aplicaciones y el proveedor sobre el intercambio de llaves para que el Kiosko se comporte como un ATM. Se pide agendar reunión para el 26.04 con miembros de TI
24/04/2024 Se entrega vía correo por parte de Marita Carbajo el Anexo 1"Modelo de Negocio".
24/04/2024 Se recibe el correo envíado por Marita Carbajo en el que se notifica la entrega de documentación de Viabilidad Técnica, Modelo funcional y Cronograma del proyecto. Se pide enviar el Modelo de Negocio - Anexo 1
08/04/24 Se realizó cambio de fecha de fin de proyecto de 2023 a 2025
20/03/24 Usuario se encuentra resolviendo las observaciones de las ETMs en coordinación con Logística. Habra un control de cambios, en base al cronograma que presentará el usuario. Pendiente que el usuario remita modelo de negocio para registrar el Proyecto en la demanda estrategica priorizada.
Modelo de Negocio Observado</t>
  </si>
  <si>
    <t>PRONCR-EO05-23-5</t>
  </si>
  <si>
    <t>Pruebas de concepto Cajeros Automáticos Depositarios</t>
  </si>
  <si>
    <t>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t>
  </si>
  <si>
    <t>Diego Marcelo</t>
  </si>
  <si>
    <t>Juan Carlos Palomino</t>
  </si>
  <si>
    <t>Cajeros Depositarios</t>
  </si>
  <si>
    <t>Felix Ochoa</t>
  </si>
  <si>
    <t xml:space="preserve">14/04/2026: En el mes de marzo, actualmente nos encontramos en la fase de desarrollo e integración de las soluciones: Transacción de Depósito en efectivo sin tarjeta, procesos Batch FISA, DAPH y Contabilización de ATM, así como alertas de Card Reader y RMV4 en consola Truesight; no se han evidenciado retrasos en los desarrollos asociados y, en conjunto con el área de Planeamiento, se realizan seguimientos semanales del proyecto.
23/03/2026: Al cierre de febrero, se está avanzando en la implementación de los flujos principales de depósito (sin tarjeta y contactless), validando las pantallas en front-end para asegurar la mensajería y experiencia de usuario, y definiendo los flujos batch en el backend.
20/03/2026: Según el acta de reunión del comité de proyectos del mes de enero, el proyecto marchó de acuerdo a lo planificado al cierre de diciembre 2025. A la fecha, la Gerencia de Banca Digital ya cuenta con un cronograma detallado del entregable "Configuración de bienes", el cual está siendo firmado por todos los participantes.
21/01/2026: Se identificaron componentes compartidos con Esplink que impactan al proyecto Card Dispenser, por lo que se acordó la coexistencia de cambios en el ambiente de desarrollo y la ejecución de validaciones en ventanas programadas. Se confirmó el despliegue de la integración con el Backend del banco para el viernes 02/01/2026 para iniciar las validaciones de la primera transacción de depósito con tarjeta el lunes 05/01/2026.
30/11/2025: "En el marco del Proyecto Cajeros Depositarios, se realizó el sinceramiento de la ponderación de los avances del proyecto por hito, lo cual fue revisado y discutido en la Reunión del 5 de diciembre, y reflejado en la Ficha de Seguimiento Parte A y Parte B (CC). No obstante, dicho ajuste no fue aprobado en el presente periodo, debido a que corresponde ser gestionado a través del proceso formal de Control de Cambios.
Durante la revisión, se identificó que la actualización del porcentaje en la sección Configuración de Bienes al 55% generó un ajuste automático del avance planificado a 35%, manteniéndose alineado con el avance ejecutado, considerando que la fase de Implementación concentra mayor esfuerzo y complejidad. 
Actualmente, las actividades de configuración de los equipos del proyecto se ejecutan conforme al cronograma aprobado, dentro de los plazos establecidos y sin desviaciones relevantes. El Control de Cambios correspondiente será presentado para su evaluación en el mes de enero de 2026, conforme a lo acordado."
31/10/2025: Según la información enviada de Planeamiento en el mes de Octubre se precisa lo siguiente: Actualmente nos encontramos en la fase de implementación de las configuraciones del Software en el Cajero automático depositario, así mismo, venimos gestionando en conjunto con la empresa Bevertec el inicio de la implementación de la solución en la plataforma Esplink la cual se encuentra en la fase de revisión y aprobación del PCR.
30/09/2025: Según la información enviada de Planeamiento en el mes de Septiembre se precisa lo siguiente: Durante este mes se realizó la verificación física de los equipos, de los cuales en la primera revisión se encontraron observaciones las cuales fueron subsanadas por el proveedor Diebold generando una segunda fase de validación la cual fue conforme.
16/09/2025:Según la información enviada de Planeamiento en el mes de Agosto se precisa lo siguiente: Se efectuó la entrega de los cinco (05) cajeros depositarios conforme a lo programado. Actualmente, el proyecto se encuentra en la fase de verificación física de los equipos, previa a su puesta en funcionamiento.
18/08/25: Según la información enviada de Planeamiento en el mes de Julio se precisa lo siguiente: Monitoreo de entrega de equipos: Al terminar julio, siguen vigilando que los equipos (cajeros depositarios) se entreguen en las fechas acordadas
Reuniones técnicas: Se sostuvieron reuniones de trabajo con el equipo de TI y el proveedor con el objetivo de revisar aspectos técnicos y funcionales clave para la implementación de los Cajeros Depositarios.
Definición del flujo de transacciones: Se viene definiendo el flujo final de la transacción de depósito, incluyendo los escenarios de excepción, tanto para transacciones parciales como fallidos (por ejemplo, si el cliente no termina de ingresar todo el dinero). Transacciones que se habilitarán con Contactless (tarjeta o dispositivo sin contacto físico). 
Se encuentra en actualización el anexo N° 1 en el cual se incorporarán los requerimientos funcionales adicionales identificados.
13/08/2025: De acuerdo al Acta de Comité de Proyectos del 16/07 N°06-2025 se informa que:
Se aprueba la solicitud de cambio con el presupuesto actualizado que asciende a S/866,956.74.
18/07/2025: Al 30.06.25, se viene realizando :
-El seguimiento al proveedor para garantizar que la entrega de los equipos se realice oportunamente y con la calidad esperada.
-Sesiones técnicas con el proveedor, avanzando las actividades de integración de la solución conjuntamente con TI; y en esos espacios se realiza el seguimiento de las fechas de la entrega de los bienes.  Presentó CC por el presupuesto del proyecto.
07/07/2025: Actualmente se vienen desarrollando sesiones de trabajo conjuntas con la Gerencia de Tecnologías de Información y el proveedor Diebold, orientadas al diseño de la arquitectura de la solución y la gestión de los componentes de TI, en paralelo a la espera de la recepción física de los bienes. Asimismo sesiones con area usuario para definir el flujo funcional.
11/06/2025:Según la información enviada de Planeamiento en el mes de Mayo se precisa lo siguiente:
Se están realizando sesiones de trabajo para el diseño de la arquitectura de solución y gestión de componente de TI en conjunto con el equipo de la Gerencia de Tecnologías de Información y el proveedor Diebold, mientras se espera la recepción física de los bienes.
03/06/2025: Según la información enviada de Planeamiento mediante correo respecto al proyecto al mes de abril se tiene que: Se realizó la firma correspondiente del contrato con el postor ganador Diebold Nixdorf Perú SRL., asimismo, se llevó a cabo la ceremonia del Kickoff con las áreas correspondientes.
07/05/2025: Según la información remitida por Planeamiento mediante correo: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
31/01/25: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previstos.En absolución de consultas y observaciones hasta este viernes 31ene25.
31/12/2024: Al 13.12.2024 se encuentra en proceso de reformulación de ETMs por resolución del Tribunal OSCE declaró nulo el proceso de selección (05.12.2024).
El 27.12.2024 se convocó en el SEACE la LP-SM-4-2024-BN-1
23/05/24 Mediante acta de comité estratégico de proyectos con fecha 06.05.24 se aprobó el control de cambios del alcance del proyecto, los usuarios deben formalizar el nuevo cronograma del proyecto y remitirlo a planeamiento.
03/05/2024 Se ha devuelto Anexo 1 con observaciones
26/04/2024 Mediante correo de Pablo Arias se entrega el Anexo 1 del proyecto, el cuál se devuelve con observaciones notificadas dentro del documeneto al remitente en mención. A la espera de la devolución con observaciones levantadas, firmado y remitido por STD. 
26/04/2024 A la espera de remitirse a TI el Anexo 1 y Anexo 2, asi mismo el registro de los requerimientos en OPP para su posterior categorización de cartera.
25/04/2024 Mediante Memo N° 63-2024-BN2810 en que se entrega la nueva lista de proyectos con componente TI se crea el proyecto en base de datos y se asigna el Lider usuario al proyecto, anteriormente no existia. 
</t>
  </si>
  <si>
    <t>PRODNI-EO12-23-8</t>
  </si>
  <si>
    <t>Proyecto Cuenta DNI – Nuevas Funcionalidades</t>
  </si>
  <si>
    <t>La cuenta DNI es una cuenta básica de ahorros de naturaleza digital y en moneda nacional</t>
  </si>
  <si>
    <t>Luis Palacios</t>
  </si>
  <si>
    <t>Cuenta DNI (Cloud)</t>
  </si>
  <si>
    <t>Angela Risco</t>
  </si>
  <si>
    <t>14/04/2026: En el mes de marzo, respecto a la ETAPA I: MVP2 (salida), se levantó la observación al Workbook por la CCE, lo que implicó un nuevo desarrollo por parte del proveedor Backbase y pruebas adicionales en ambiente de Calidad para la certificación y pase a producción de las funcionalidades: Transferencias interbancarias inmediatas de salida, Transferencias por contacto de salida y Transferencias mediante código QR de salida (canal móvil).
23/03/2026: En la ETAPA I (MVP2 salida) de Cuenta DNI, una observación de la CCE al Workbook requirió un nuevo desarrollo por Backbase y pruebas adicionales en Calidad, impactando las transferencias de salida (interbancarias inmediatas, por contacto y vía QR).
20/03/2026: Según el acta de reunión del comité de proyectos del mes de enero, el proyecto presentó un ligero retraso al cierre de diciembre 2025. Si bien el MVP2 completó el 100% de las pruebas funcionales en noviembre 2025, la Gerencia de TI solicitó a fines de diciembre realizar pruebas de vulnerabilidad a las APIs de Temenos. Se estima culminar el MPV2 para el mes de enero 2026. Asimismo, el Comité de Cuenta DNI debe evaluar y definir las acciones correspondientes respecto al proyecto.
25/02/2026: En la ETAPA I – MVP2 (salida) del proyecto Cuenta DNI se vienen ejecutando las validaciones de reportes contables para asegurar el correcto registro financiero de las nuevas funcionalidades. El proyecto se encuentra pendiente de aprobación de la Cámara de Compensación para autorizar el pase a producción de las funcionalidades de transferencias de salida, que incluyen transferencias interbancarias inmediatas, por contacto y mediante código QR.
21/01/2026: El MVP2 completó satisfactoriamente el 100 % de las pruebas funcionales en noviembre de 2025. Actualmente, el proyecto se encuentra en la fase de validación de reportes contables, con incidencias siendo analizadas y corregidas. Adicionalmente, la Gerencia de TI solicitó el 24/12/2025 la ejecución de pruebas de vulnerabilidad sobre las APIs de Temenos, las cuales se encuentran en proceso de ejecución.
31/10/2025: Según la información enviada de Planeamiento en el mes de Octubre se precisa lo siguiente: Se ha presentado una solicitud de cambio donde se estará llevando un mejor control del avance del proyecto, hasta el momento se han mantenido las fechas con los avances porcentuales correspondientes.
30/09/2025: Según la información enviada de Planeamiento en el mes de Septiembre se precisa lo siguiente: El proyecto presenta retrasos principalmente por dependencias externas con los proveedores Temenos, Backbase y Novatronic, cuyos servicios aún se encuentran en fase de pruebas en el ambiente de certificación. Se ha presentado una solicitud de cambio con el objetivo de establecer un mejor control del avance del proyecto. Hasta el momento, se vienen manteniendo las fechas establecidas, con los avances porcentuales correspondientes conforme al cronograma vigente. 
16/09/2025: Según la información enviada de Planeamiento en el mes de Agosto se precisa lo siguiente: Debido a la suspensión temporal del servicio por parte de los proveedores, el proyecto se vio afectado en su cronograma de pruebas. Sin embargo, tras regularizar los pagos correspondientes, el servicio fue restablecido y se han retomado las pruebas de manera satisfactoria, dando continuidad a la ejecución del proyecto.
21/08/2025: De acuerdo al Acta de Comité de Proyectos del 14/08 N°07-2025 se informa que:
Se solicita a la Gerencia de Banca Digital realizar un informe situacional del proyecto y formalizar su solicitud de cambio para el próximo Comité Ejecutivo de Proyectos. Además, se solicita una reunión entre la Gerencia de Banca Digital, Gerencia Legal y la Gerencia de Administración y Logística para revisar el contrato con los proveedores del proyecto. Preliminar a ello, la Gerencia de Banca Digital debe confirmar si tuvo algún tipo de comunicación con los proveedores en relación con el contrato.
18/08/25: Según la información enviada de Planeamiento en el mes de Julio se precisa lo siguiente: El proyecto avanza conforme al road map (Hoja de Ruta) establecido; sin embargo, se registran demoras en las pruebas integrales debido a la alta complejidad de la integración entre BackBase, Temenos, Novatronic y CCE, así como a inconvenientes en los pagos a proveedores, lo que ha afectado la continuidad de las actividades. 
Se avanza en la configuración del servidor que gestionará las tarifas aplicables a las transferencias inmediatas, elemento clave para garantizar el correcto cálculo y aplicación de comisiones en la operación del servicio.
13/08/2025: De acuerdo al Acta de Comité de Proyectos del 16/07 N°06-2025 se informa que:  la Gerencia de Banca Digital indicó que el proyecto terminará a fines de octubre 2025. En virtud de ello, se solicita el apoyo de todos los participantes para culminar en el periodo mencionado.
18/07/2025: Se están realizando pruebas en el ambiente de calidad de las funcionalidades de transferencias interbancarias inmediatas y pagos con QR, con los tres proveedores involucrados: Backbase, Temenos y Novatronic. 
Durante estas pruebas se han identificado incidencias relacionadas con la conexión a la Cámara de Compensaciones Electrónicas (CCE), debido a que se trata de un servicio compartido entre las áreas de TI.
• El pase a producción está programado para agosto del MPV2 y para noviembre del MPV3 .
• Actualmente se vienen desarrollando reuniones de seguimiento con el objetivo de supervisar el avance y la resolución de incidencias durante las pruebas.
11/06/2025:Según la información enviada de Planeamiento en el mes de Mayo se precisa lo siguiente:
Durante la ejecución de las pruebas integrales en el entorno de desarrollo, en las que participan los tres proveedores (Backbase, Temenos y   Novatronic), se han identificado incidencias relacionadas con la conexión a la Cámara de Compensaciones y con los tiempos de respuesta en las operaciones correspondientes al proceso de interoperabilidad (transferencias interbancarias inmediatas y pagos con QR).
-Estas situaciones vienen siendo atendidas de manera conjunta por Novatronic, Temenos y el Banco de la Nación.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07/05/2025: Según la información enviada por Planeamiento mediante correo: Se continúan las pruebas en desarrollo de  las funcionalidades de transferencias inmediatas, por contacto y QR  con el proveedor BACKBASE, TEMENOS y NOVATRONIC.
Se mantienen las pruebas en desarrollo de las funcionalidades de retiro y deposito en agente BN y para retiro y depósito en ventanilla con el proveedor TEMENOS y el BN.
31/12/2024: Las áreas usuarias validaron las funcionalidades de retiro y depósito en Ventanilla y se procedió con la generación del Anexo 2 para solicitar la inscripción en el Clear Quest. Se continúan coordinando con el proveedor Temenos para correcciones. Siguen en construcción la funcionalidad de transferencias Q
23/05/24 Mediante comité estratégico de proyectos con fecha 06.05.24 se aprobó el control de cambios del proyecto.Esto implica nuevas actividades y actualizacion en el cronograma. TI solicitará al usuario remtiir anexo 1 actualizado.
08/04/24 Se cambió la fecha de Fin de proyecto a 2025
20/03/24 Usuario remitió modelo de negocio y se registró en la demanda estrategica de TI, sin embargo se encuentra pendiente que el usuario remita modelo de negocio actualizado. Está retrasado porque el proveedor no contempló dentro del cronograma actividades funcionales que son necesarias para el proytecto. Presentarán un control de cambios a nivel de alcance, tiempo y presupuesto.</t>
  </si>
  <si>
    <t>PROGRO-EO08-23-12</t>
  </si>
  <si>
    <t>Servicio de Implementación y Licenciamiento de un Software para la Gestión del Riesgo Operacional, Seguridad de la Información y Continuidad del Negocio para el BN</t>
  </si>
  <si>
    <t>Fortalecer la Gestión de Riesgo Operacional, Seguridad de la Información y Continuidad del Negocio del Banco de la Nación</t>
  </si>
  <si>
    <t>Riesgos</t>
  </si>
  <si>
    <t>Victoria Galvez</t>
  </si>
  <si>
    <t>Diana Mogollon</t>
  </si>
  <si>
    <t>Rina Roca</t>
  </si>
  <si>
    <t>Tecnológica</t>
  </si>
  <si>
    <t>Gestión Interna</t>
  </si>
  <si>
    <t>Riesgo Operacional</t>
  </si>
  <si>
    <t>Jorge Mora</t>
  </si>
  <si>
    <t>14/04/2026: En el mes de marzo, al cierre se realizó el pase al ambiente de Certificación tras pruebas de usuario e integración, identificándose cinco (5) casos de prueba con observaciones y dos (2) vulnerabilidades de severidad media, a ser subsanadas por el proveedor en la actualización del 30.04.2026; asimismo, se presentaron inconvenientes en la gestión de accesos al servidor IVANTI para Achiwan (Telefónica Tech) y Clarity (prov. Ivanti), generando demoras en el inicio de pruebas de integración en Desarrollo, situación que a la fecha se encuentra superada para continuar con el pase a calidad.
23/03/2026: En febrero se actualizó la herramienta para corregir observaciones y vulnerabilidades detectadas en Calidad; un nuevo escaneo identificó dos vulnerabilidades medias, ya comunicadas al proveedor para su remediación. Además, se iniciaron pruebas de usuario con TI y las gestiones para la solicitud de cambios del proyecto.
20/03/2026: Según el acta de reunión del comité de proyectos del mes de enero, el proyecto marchó de acuerdo a lo planificado al cierre de diciembre 2025. En enero 2026 se efectuó el pase al ambiente de Certificación. Sin embargo, el proyecto ha presentado demoras en la actividad "Despliegue en calidad" debido a inconvenientes en el despliegue de la aplicación Global Suite y a problemas en la carga de datos en el servidor, lo cual puede impactar en la culminación del proyecto en enero 2026.
25/02/2026: Durante el proceso de Certificación del BN se identificaron vulnerabilidades, por lo que TI–Seguridad solicitó al proveedor su subsanación como condición para el pase a producción. La herramienta fue actualizada, pero no se corrigieron todas las vulnerabilidades. Posteriormente, en las pruebas de calidad y usuario, se detectaron nuevos errores funcionales y la reaparición de errores ya subsanados, los cuales fueron remitidos al proveedor y continúan pendientes de corrección; en consecuencia, se formulará una solicitud de cambio.
21/01/2026: Al 12.12.2025 se concluyeron los entregables hasta el E10 y se realizó el pase a Certificación. El E11 (Proceso de Certificación del BN) presenta demoras en “Despliegue en Calidad” por inconvenientes en GlobalSuite y en la carga de data del ETL, los cuales vienen siendo subsanados. Es necesario culminar el E11 para iniciar las pruebas de calidad y usuario, para lo cual se vienen coordinando reuniones adicionales. En el levantamiento de vulnerabilidades se identificaron 6 vulnerabilidades medias: 5 falsos positivos y 1 vulnerabilidad pendiente (CSP: Directiva Wildcard), con fecha comprometida 11.01.2026.
30/11/2025: Se logró el cierre del entregable 6 "Parametrizacion del modulo Administracion" y del entregable 8 "Parametrizacion del módulo de seguridad de la informacion". Con respecto al entregable 7 "Parametrizacion del modulo de Riesgo Operacional" en la actividad de configuracion de reportes, hubo observaciones funcionales en la reporteria que esta generando demoras en la implementacion del entregable, por lo que el proveedor se encuentra subsanando las observaciones para la primera semana de diciembre se estima su conclusión.
En el entregable 10 "Pruebas en ambiente de desarrollo", en la actividad analisis de vulnerabilidades, el area de la Seguridad de la informacion realizo escaneos y encontro vulnerabilidades que estan pendientes de subsanar por parte del proveedor."
31/10/2025: Según la información enviada de Planeamiento en el mes de Octubre se precisa lo siguiente: "Al 31.10.2025, se efectuaron las siguientes actividades del entregable ""Instalación, configuración e integracion de la solución"" en el amibiente de desarrollo:
1. Iimplementacion de la reporteria BI.(10/02/2025). Concluido al 100%
2. Integración IBM -ISIM con la herrramienta GlobalSuite( 10/02/2025). Concluido al 100%
Asimismo, se elaboró los documentos para la solicitud de cambio con la actualización del cronograma coordinado con la Gerencia de TI."
30/09/2025: Según la información enviada de Planeamiento en el mes de Septiembre se precisa lo siguiente: En cuanto a la Implementación de la Reporteria BI (dentro del Entregable 5), se solucionó la habilitación de servidor y actualmente el proveedor está configurando el servidor con los componentes necesarios para la reportería. Con respecto a la Integración ISIM ( dentro del Entregable 5), el proveedor Telefonica Tech, con apoyo de un proveedor local especializado, ha desarrollado el conector para la integración ISIM y actualmente se encuentra en proceso de configuración para integrar los perfiles requeridos para la herramienta GlosbSuite.
16/09/2025:Según la información enviada de Planeamiento en el mes de Agosto se precisa lo siguiente: A la fecha; la solicitud de ampliación de los plazos solicitada por el proveedor fue evaluada por el área de Logística y Legal, previos informes de la Subgerencia de Riesgos de Operación y Tecnología, concluyendo que no procede la ampliación por lo que se aplicaría las penalidades previa conformidad del área usuaria. Asimismo, continúan las coordinaciones con la Gerencia de TI para la habilitación de (01) servidor y (01) Instancia de base datos al proveedor para la generación de reportería BI.
Asimismo, se viene elaborando cronograma considerando nuevos plazos con fecha fin estimada de proyecto (dic 2025).  Se procederá a la presentación de la solicitud de cambios en el próximo comité de proyectos.
21/08/2025: De acuerdo al Acta de Comité de Proyectos del 14/08 N°07-2025 se informa que:
Se solicita a la Gerencia de Riesgos realizar un informe situacional del proyecto y formalizar su solicitud de cambio para el próximo Comité Ejecutivo de Proyectos.
13/08/2025: De acuerdo al Acta de Comité de Proyectos del 16/07 N°06-2025 se informa que:
El Jefe de Sección Políticas de Seguridad de Información de la Gerencia de Riesgos expuso las dificultades técnicas del proyecto. Ante ello, se solicita a la Gerencia de TI coordine y brinde el apoyo tecnológico necesario para continuar con las actividades del proyecto. Asimismo, la Gerencia de Riesgos, líder del proyecto, deberá revisar si el contrato con el proveedor define
penalidades por incumplimiento y deberá remitir el calendario actualizado luego de su
gestión de ampliación con el proveedor.
18/08/25: Según la información enviada de Planeamiento en el mes de Julio se precisa lo siguiente: Se continúa con el proceso de implementación de las funcionalidades de los módulos de Administración, Riesgo Operacional, Seguridad de la Información y Continuidad de Negocio. Sin embargo, no se concluyó con la fecha fin del proyecto planificada debido principalmente a la demora en la implementación de la reportería  BI - (40)  (Bussines Inteligent) por parte del proveedor y de la alta dependencia del fabricante del software (GlobalSuite). En ese sentido, el proveedor remitió carta (31.07.25) comunicando la necesidad de solicitar la ampliación de los plazos establecidos en el contrato. A la fecha, el área líder el proyecto viene elaborando la solicitud al proveedor del nuevo cronograma y a su vez coordinando la solicitud de la habilitación de (02) servidores (base de datos y  ETL-Extracción de Información, transformación y carga de datos a la Gerencia de TI .
18/07/2025: Se continúa avanzando el proceso de implementación de las funcionalidades de los módulos de Administración, Riesgo Operacional, Seguridad de la Información y Continuidad de Negocio; que han presentado demoras por parte del proveedor por la alta dependencia del fabricante del software. Se han finalizado las integraciones a Oracle, Ivanti, Directorio Activo y alertas a los correos. Telefónica Techh se encuentra desarrollando el conector ISIM-Globalsuite e implementación de la reportería por módulos. Esta pendiente remitir la carta al proveedor por los retrasos de los compromisos del proyecto.
11/06/2025:Según la información enviada de Planeamiento en el mes de Mayo se precisa lo siguiente:
Hay retrasos en las tareas de reportería, conector ISIM, pruebas, etc., Estos se deben a la alta dependencia de Telefónica con su partner Global Suite. 
En abril se reporto avance de 43%,  proyecto tiene fecha de fin julio 2025.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07/05/2025: Según la información remitida por Planeamiento mediante correo: Se han completado 4 de los 15 entregables. El quinto está retrasado por incumplimientos de Global Suite. Por lo que se espera sean superadas en abril.
31/12/2024: Esta en ejecución las tareas: Instalación, Parametrización, Conversión y Migración que tienen retrasos de hasta 7 meses ,debido a las integraciones con las Aplicaciones IVANTI y Oracle y las pruebas de los módulos nuevos con los usuarios.
22/05/24 Usuario presentará un control de cambios; confirman que culminan este año 2024. Contrato firmado el 15/05/24, revisar Memo 086-2024/2182 donde solicitan apoyo de TI.AO24
03/05/2024 En proceso logístico para el otorgamiento de Buena pro
08/04/24 Se ha cambiado la fecha de Fin de proyecto de 2025 a 2024.
20/03/24 Está retrasado en la suscripcion del contrato. Se agendará una reunión para revisar las siguientes actividades que involucra a TI según cronograma. Pendiente que el usuario remita modelo de negocio para registrar el Proyecto en la demanda estrategica priorizada.
Pendiente envío Modelo de Negocio</t>
  </si>
  <si>
    <t>PROPLAFT-EO08-23-13</t>
  </si>
  <si>
    <t>Implementación de la Solución tecnológica para la prevención de fraudes, lavado de activos y del financiamiento del terrorismo (LA/FT) y aplicación de scoring de riesgos de LA/FT</t>
  </si>
  <si>
    <t>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t>
  </si>
  <si>
    <t>Luis Garcia; 
Liliana Casafranca</t>
  </si>
  <si>
    <t>Maria Isabel Elguera</t>
  </si>
  <si>
    <t>Sentinel</t>
  </si>
  <si>
    <t>Jorge Ruiz</t>
  </si>
  <si>
    <t>14/04/2026: En el mes de marzo, respecto al Entregable 9 se realizó la integración con los canales ATM, AGENTE y VISA; y respecto al Entregable 12 se inició la actualización del perfil transaccional, la cual culminará a principios de junio de 2026.
23/03/2026: Para el cierre de febrero, se viene coordinando con el proveedor la entrega del cronograma detallado de actividades, en el cual se evidencian los porcentajes de avance. Se estima contar con dicha información en marzo.
20/03/2026: Según el acta de reunión del comité de proyectos del mes de enero, el proyecto presentó un ligero retraso al cierre de diciembre 2025, no logrando culminar la implementación de los 03 procesos planificados para el 2025, debido a que no se tenía la información homologada. La Gerencia de Operaciones señaló que espera culminar con las pruebas pendientes a fines de enero 2026.
25/02/2026: En enero no se registraron nuevos entregables en producción; no obstante, se avanzó en actividades de los Entregables 7 y 9. Asimismo, se viene coordinando con el Consorcio la actualización de fechas de compromiso para las próximas salidas a producción de los Entregables 7, 9 y 12, estimándose contar con un cronograma consensuado la próxima semana
21/01/2026:  Finalización de pruebas de Modelos basados en Reglas; redacción y conformidad de actas de pruebas en Desarrollo y Certificación; gestiones para la reducción de la prestación del Canal Banca Celular; aceptación y cierre del Entregable N°10 (pase a producción 10.12.2025); validación post-producción de Reglas en App Móvil y HomeBanking.La culminación del Entregable N°11 depende de la culminación del Entregable N°9, dado que el informe de avance comprende los entregables 9 y 10.
30/11/2025: En noviembre se efectuó el pase a producción correspondiente a la parte funcional de la herramienta (fase 1) correspondiente al Proyecto Sentinel.  Durante diciembre se completará el pase a producción de la fase 2, lo que permitiría considerar el entregable 10 como finalizado al 100%. No obstante, al cierre de noviembre ningún entregable posterior al número 6 alcanza el 100% de avance. 
A la fecha el proyecto es medido a nivel entregables debido a que no han compartido el cronograma detallado del proyecto.
31/10/2025: Según la información enviada de Planeamiento en el mes de Octubre se precisa lo siguiente: Su nivel de avance es a nivel entregables ya que no se cuenta con un cronograma detallado. Asimismo, está presentado una solicitud de cambio donde el proyecto culminaría en Mayo 2026.
30/09/2025: Según la información enviada de Planeamiento en el mes de Septiembre se precisa lo siguiente: La gerencia de riesgos en coordinación con la gerencia de TI ha elaborado un nuevo cronograma a fin de que el proveedor lo revise y de la conformidad. Dicho cronograma acompañado de un informe por la gerencia de riesgos fue presentado al Directorio. Ante ello, la sesión de Directorio ha determinado que se brindará lo necesario para acotar los plazos.
16/09/2025:Según la información enviada de Planeamiento en el mes de Agosto se precisa lo siguiente: La gerencia de Riesgos no ha reportado % de avance en el mes de agosto 2025.
21/08/2025: De acuerdo al Acta de Comité de Proyectos del 14/08 N°07-2025 se informa que:
Se solicita a la Gerencia de Riesgos realizar un informe situacional del proyecto y formalizar su solicitud de cambio para el próximo Comité Ejecutivo de Proyectos.
18/08/25: Según la información enviada de Planeamiento en el mes de Julio se precisa lo siguiente: 
- Hay Entregables vencidos (6 de 12)
- Cronograma desactualizado (fecha fin: Junio 2025)
- La gerencia líder del proyecto no reporta información del estado del proyecto.
13/08/2025: De acuerdo al Acta de Comité de Proyectos del 16/07 N°06-2025 se informa que:
No presentaron reporte al cierre de junio a la Sub Gerencia de Planeamiento. Sin embargo, se está efectuando reuniones semanales entre las gerencias participantes y la Gerencia General para monitorear у tomar decisiones en conjunto respecto a actividades propias del BN, así como coordinar actividades con el proveedor.
18/07/2025: Se tuvo una reunión el 16.06.2025 entre las gerencias de TI, gerencia de Riesgos, OPLAFT y Planeamiento. Se expuso que el cronograma que se envió al proveedor no ha sido aceptado debido a que no comtempla las fechas solicitadas para finalizar el 2025. Por otro lado, las áreas usuarias contemplan que hay data que trabajar para poder darsela al proveedor y cumplir con las actividades planificadas. Por otro lado, va a ver una reunión con legal para ver temas contractuales con el proveedor.
11/06/2025:Según la información enviada de Planeamiento en el mes de Mayo se precisa lo siguiente:
Entregable 7 Fase 2 Ambiente de Desarrollo continúan las pruebas de perfiles ,funcionales y la validación de Calidad de datos de los archivos de 5 días, en paralelo se están generando desde 2/5 los archivos de 6 meses con los programas extractores v2 .
Entregable 9 se culmino la integración de datos desde los canales en el ambiente Desarrollo. Entregable 10 se culmino las pruebas en el ambiente de Certificación esta en proceso la firma de los IRPF y RC .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07/05/2025: Según la información remitida por Planeamiento mediante correo: Se esta desplegando la nueva versión de Sentinel Core y Predictions que resuelve issues identificadas durante las pruebas hasta dic 2024.
Entregable 7  La revisión de Calidad de datos no se esta cumpliendo en fecha debido a la que la  información aun sigue siendo corregida por parte de TI-BN , existe una alta dependencia de un solo especialista para el análisis y construcción de los programas extractores . 
Entregable 9 Hay retraso en el inicio de  las pruebas funcionales en el ambiente de desarrollo debido a las actividades previas por parte de TI-BN y Smartsoft. 
Entregable 10 Aún están pendientes de firma las RC , ya que dependen de los IRPF, tanto de Producto como Funcional, los cuales no han sido remitidos con las firmas correspondientes por parte de Smartsoft. Una vez que Smartsoft entregue los IRPF debidamente visados, los usuarios y el equipo de TI - BN procederán con el visado final para su cierre.
31/12/2024: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23/05/2024 Mediante Comité Estratégico de proyectos de fecha 06.05.24 se informa la aprobación de control de cambios del proyecto 
08/04/24 Se ha cambiado la fecha de inicio de proyecto de 2023 a 2021
20/03/24 TI compartirá con Planeamiento el nuevo plan actualizado para que se gestione el control de cambios con el Líder del Proyecto.</t>
  </si>
  <si>
    <t>PROASL-EO10-23-18</t>
  </si>
  <si>
    <t>Adquisición de Switches Lan para las sedes Administrativas y dependencias del BN</t>
  </si>
  <si>
    <t>Renovar los equipos de comunicaciones que brindan el acceso a la red del banco a los usuarios administrativos y de las dependencias como Agencias, Lobbys y Oficinas especiales, usando protocolos de seguridad y acceso actualizados y estándares en la industria de Tl.</t>
  </si>
  <si>
    <t>Tecnologías de Información</t>
  </si>
  <si>
    <t>Alejandro Sifuentes</t>
  </si>
  <si>
    <t>Switches LAN</t>
  </si>
  <si>
    <t>Erick Romero</t>
  </si>
  <si>
    <t>03. Implementado</t>
  </si>
  <si>
    <t>IMPLEMENTADO
11/06/2025:Según la información enviada de Planeamiento en el mes de Mayo se precisa lo siguiente:
El Equipo Técnico del proyecto informó que, se culminó con la implementación al 100%. 
Asimismo, se presentó el avance de las siguientes actividades:
      Implementación:
	Ejecución: 100% (finalizado)
	Monitoreo y Control: 100% (finalizado)
	Cierre 100% (finalizado)
03/06/2025: Según la información enviada de Planeamiento mediante correo respecto al proyecto en el mes de abril se tiene que: El proyecto ha sido culminado. Fin del Proyecto.
21/05/2025: Según el Acta de Reunión N°04-2025 del Comité de Proyectos, se enviará a Planeamiento el Acta de Cierre del Proyecto y el fomato de lecciones aprendidas en las próximas semanas.
07/05/2025: Según la información remitida por Planeamiento mediante correo: A nivel tareas, actualmente se encuentra en la Etapa de Implementación del Proyecto.
El Equipo Técnico del proyecto informó que, solo faltan instalar 45 equipos de 547 nuevos equipos en la Red de Agencias. Además, se revisaron posibles riesgos y desafíos que podrían impactar el cronograma, con el objetivo de tomar medidas preventivas y correctivas.
Finalmente, se comunicó que las actividades del proyecto se vienen realizando de acuerdo a lo planificado.
Asimismo, se presentó el avance de las siguientes actividades:
•	Implementación:
	Ejecución: 96% (en proceso)
	Monitoreo y Control: 97% (casi finalizado)
31/12/2024: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23/05/24 Validar si se firmó el contrato. A espera que el proveedor entregue el plan de trabajo.
25/04/2024 Mediante Memo N° 63-2024-BN2810 en que se entrega la nueva lista de proyectos con componente TI se genera cambio en el lider del proyecto de José Macedo a Alejandro Sifuentes 
25/04/2024 Mediante Memo N°60-2024-BN2810 se informa que se requiere el informe de las razones del retraso del proyecto asi como sus acciones correctivas para la presentación al comité del 26.04 
20/03/24 Esta en proceso logistico (analisis de oferta y la buena pro se dará en marzo). Presentarán un nuevo cronograma con control de cambios.</t>
  </si>
  <si>
    <t>PROGSE-EO10-23-19</t>
  </si>
  <si>
    <t>Adquisición de Solución de Granja de Servidores Empresariales</t>
  </si>
  <si>
    <t>Renovar y ampliar los recursos de infraestructura de servidores con los que cuenta el Banco, garantizando su continuidad, disponibilidad y la mejora de su rendimiento operativo. Asimismo, la de soportar/operar toda la carga operacional de los servidores en cada uno de los Centros de Cómputo del Banco de forma independiente, considerando también cubrir la demanda de crecimiento futuro de servidores requeridos por nuestra institución.</t>
  </si>
  <si>
    <t>Granja</t>
  </si>
  <si>
    <t>Edward Torres</t>
  </si>
  <si>
    <t>IMPLEMENTADO
23/05/24 Validar si ya se dió la buena Pro.
25/04/2024 Mediante Memo N°60-2024-BN2810 se informa que se requiere el informe de las razones del retraso del proyecto asi como sus acciones correctivas para la presentación al comité del 26.04 
20/03/24 Esta en proceso logistico y la buena pro se dará en marzo. Presentarán un nuevo cronograma con control de cambios.</t>
  </si>
  <si>
    <t>ID N°</t>
  </si>
  <si>
    <t>Multired Empresarial - Fase III</t>
  </si>
  <si>
    <t>Modernizar y agilizar el proceso de pagos del Estado, permitiendo realizar transacciones y gestiones de manera electrónica, eliminando la necesidad de trámites presenciales.</t>
  </si>
  <si>
    <t>Operaciones</t>
  </si>
  <si>
    <t>Jorge Lavalle</t>
  </si>
  <si>
    <t>Procesos Digitales</t>
  </si>
  <si>
    <t>Multired empresarial</t>
  </si>
  <si>
    <t>Eduardo Cárdenas</t>
  </si>
  <si>
    <t>IMPLEMENTADO
23/05/24 Validar que estan al 25% de desplieuge en Calidad. Presentarán un control de cambios.
08/04/24 Se ha cambiado la fecha de Fin de proyecto al 2024
21/03/24 Se coordinará con el usuario - Marco Ortiz, para tratar el requerimiento como una mejora, mas no como un proyecto. En febrero culminaron el desarrollo y pruebas con el usuario. TI validará si ya se encuentra en calidad. Pendiente que el usuario remita modelo de negocio para registrar el Proyecto en la demanda estrategica priorizada.</t>
  </si>
  <si>
    <t>Servicio Levantamiento Secreto Bancario</t>
  </si>
  <si>
    <t>Actualmente se brinda el servicio Levantamiento del Secreto Bancario, el cual atiende al Poder Judicial principalmente. 
Dicho servicio para su atención, requiere de información transversal que proviene de distintas áreas del Banco y son consolidadas por la Sección Depositos Judiciales. Las actividades de cada uno de los distintos procesos son atendidos de manera manual  y de forma repetitiva, los cuales conllevan a riesgos de error operativo y posibles pérdidas económicas.
La solución busca Optimizar la eficiencia de los procesos (OEI 8), mediante la automatización del proceso lo que incidirá en la Mejorar la experiencia del Cliente (OEI 4), los que se medirán en la disminución de los tiempos de atención conforme a cada proceso automatizado, y reducir el riesgo de multas y demandas al BN.</t>
  </si>
  <si>
    <t>Carla Figallo</t>
  </si>
  <si>
    <t>Andrea Peve</t>
  </si>
  <si>
    <t>Secreto bancario</t>
  </si>
  <si>
    <t>Darwin Valenzuela</t>
  </si>
  <si>
    <t>05/07/24 Mediante MEMORANDO N° 00000197 - 2024-BN/3212 la usuaria remite anexo 1 actualizado.
27/06/24 Usuario remitió Anexo 2 actualizados mediante MEMORANDO N° 00000195 - 2024-BN/3212 de fecha 27/06, que son asociados al proyecto.
23/05/24 Validar que el contrato esté firmado. Pendiente envio de la Solicitud de Cambio a Planeamiento.
10/05/2024 A la espera del anexo 1 actualizado para redimensionar el alcance del proyecto, memo 0008-2024-BN-2542
19/04/2024 Por correo remitido por Junior Quicano se da respuesta a las consultas y observaciones homologadas  por parte de TI, en el documento excelse hace mención que exsiten algunas consultas que deben ser correspondidas por el Área Usuario, para otras consultas el BN brindará servicio VPN, asi mismo, hay respuestas que fueron realizadas en las consultas de TDR 
17/04/2024 Mediante correo remitido por Martin Nicho se hace llegar las observaciones y consultas de  BellTech y Mora Technology se pide apoyo para la solventación de las mismas por parte de las subgerencias de TI, Arquitectura de datos, Seguridad Informática, Soporte de infraestructura, Usuario y Logística. 
21/03/2024 Usuario remitió modelo de negocio y se registró en la demanda estrategica de TI. Usuario se encuentra en proceso logísitico. Comentar que en la demanda táctica existen 02 requerimientos asociados, del cual se ha recomendado al usuario incluir dentro del alcance del Proyecto, para ello se solicita a Planeamiento agendar reunión con Area usuaria y TI para definir el tratamiento del mismo.</t>
  </si>
  <si>
    <t>Implementación del servicio de Inmediatas e Interoperabilidad (Transferencias Inmediatas e Interoperabilidad)</t>
  </si>
  <si>
    <t>Asegurar el restablecimiento del servicio de Transferencias Interbancarias Inmediatas a través del sistema de la Cámara de Compensación Electrónica (CCE). Además, se busca habilitar las funcionalidades de Interoperabilidad necesarias según las exigencias del Banco Central de Reserva del Perú (BCRP).</t>
  </si>
  <si>
    <t>Transferencia inmediata</t>
  </si>
  <si>
    <t>Mario Carbajo</t>
  </si>
  <si>
    <t>IMPLEMENTADO
08/04/24 Se han cambiado las fechas de Inicio y Fin de proyecto 2023-2023 a 2022-2024
21/3/2024 Usuario está realizando un control de cambios para quitar la actividad de la implementación de la modalidad de QR dentro del Proyecto. Esta SC se expondrá en el proximo comité para su aprobación y para la formalización del cierre del proyecto.</t>
  </si>
  <si>
    <t>PRORPA-EO08-23-27</t>
  </si>
  <si>
    <t>Implementación del Proyecto de Robotización (Automatización de Procesos - RPA)</t>
  </si>
  <si>
    <t>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t>
  </si>
  <si>
    <t>María Luisa Guevara</t>
  </si>
  <si>
    <t>Marco Ortiz; Andrea Peve</t>
  </si>
  <si>
    <t>Robotización</t>
  </si>
  <si>
    <t>Elia Muñoz</t>
  </si>
  <si>
    <t>23/03/2026: Para el cierre de febrero, se culminó con los 10 procesos satisfactoriamente logrando pasar a producción en febrero 2026. En consecuencia, se solicita se cierre el proyecto Servicio de suscripción de licencia de software para la automatización robótica de procesos (RPA). Se formalizó con la remisión del acta de cierre y el anexo de lecciones aprendidas del proyecto.
20/03/2026: Según el acta de reunión del comité de proyectos del mes de enero, el proyecto presentó un ligero retraso al cierre de diciembre 2025, no logrando culminar la implementación de los 03 procesos planificados para el 2025, debido a que no se tenía la información homologada. La Gerencia de Operaciones señaló que espera culminar con las pruebas pendientes a fines de enero 2026.
25/02/2026: Se realizó la consistencia del proceso de cheques efectuándose las pruebas correspondientes entre el área usuaria y TI, se está preparando la documentación para el pase a calidad y despliegue en producción en la 2da. semana de febrero. En consecuencia, se procederá a la elaboración de la documentación para el cierre del proyecto.
21/01/2026: Respecto a la actividad E6, de los tres procesos se encuentra desplegado Tarjeta de Crédito hipotecario y Carta Fianza. Para Préstamo Multired, el área usuaria generó los perfiles y se viene solicitando a Seguridad Informática la creación de credenciales del robot, con despliegue a producción planificado para el 09/01/2026. Asimismo, el proceso de consistencia de cheques presenta dificultades en pruebas; se han programado pruebas entre el área usuaria y TI para el 08/01/2026, a fin de culminar y pasar a Calidad.
30/11/2025. AL cierre de noviembre, se concluyó las pruebas en desarrollo de los 03 procesos  Préstamo Multired y Tarjetas, Crédito hipotecario y Cartas Fianza, Cargado y consistencia de canje de entrada (cheques). Asimismo, con respecto al pase certificación se están realizando las coordinaciones con la Gerencia de Productos e Inclusión Financiera - GPIF  (usuario) y con la Subgerencia de Seguridad informática para validar los formatos de acceso (roles usuario) se estima contar con los permisos de acceso para la 1ra semana de diciembre y continuar con las pruebas en certificación y el pase a producción según lo planificado para el mes próximo.
31/10/2025: Según la información enviada de Planeamiento en el mes de Octubre se precisa lo siguiente: "Al 31.10.2025, con la participación del proveedor Belltech y usuarios del Banco (Operaciones y TI), se ha concluido con la certificación del 2° entregable 02 y se encuentra en marcha blanca (Procesos de Levantamiento de Secreto Bancario): 1.- Atención de solicitudes, 2.- Certificados judiciales, 3.- Información ATM y 4.- Agentes Corresponsales.
Referente al entregable 3, se encuentra en desarrollo y reuniones de entendimiento entre el proveedor y los respectivos usuarios de los 3 procesos que la componen:  
1.- Consistencia de canje de entrada (cheques), 2.- Préstamos multired y tarjetas (Levantamiento de Secreto Bancario) y 3.- Hipotecario y Cartas Fianzas (Levantamiento de Secreto Bancario). Asimismo, se elaboró los documentos para la solicitud de cambios."
30/09/2025: Según la información enviada de Planeamiento en el mes de Septiembre se precisa lo siguiente: Al cierre del mes de setiembre,  el área de calidad se encuentra documentando la certificación del entregable 02 de los 04 procesos: 1) Atención de solicitudes de secreto bancario  2) Información ATM, 3) Agentes corresponsales y 4) Certificado de depósitos judiciales; con fecha estimada del pase a producción 2da semana de octubre.
Asimismo, el proveedor viene desarrollando los procesos del entregable 03, solicitando data de pruebas: 1)Préstamo multired, 2)Hipotecario y 3)Consistencia de canje de entrada (cheques). Considerar, que  los plazos se encuentran desfasados, por el retraso de la atención del entregable 02, por lo que se continúa las coordinaciones con el proveedor y TI para determinar y definir el cronograma para la solicitud de cambios con ampliación de plazos.
16/09/2025:Según la información enviada de Planeamiento en el mes de Agosto se precisa lo siguiente: Al cierre del mes de agosto, en el ambiente de calidad, se encuentra en el ciclo final de pruebas de los 04 procesos: 
1) Atención de solicitudes de secreto bancario  2) Información ATM, 3) Agentes corresponsales y 4) Certificado de depósitos judiciales; de los que se presentaron observaciones (incidencias en los desarrollos vinculados a OnDemand, ECAI y Host) y vienen siendo atendidas por el proveedor y el área de Calidad. 
Asimismo, se concluyó la generación de los perfiles de usuario para los procesos: 1)Préstamo multired, 2)Hipotecario y 3)Consistencia de canje de entrada (cheques). 
Sin embargo, los plazos se encuentran desfasados, por lo que se continúa las coordinaciones con el proveedor para determinar y definir el cronograma para la solicitud de cambios con ampliación de plazos (octubre 2025-fecha preliminar), el cual deberá presentarse en el mes de setiembre.
21/08/2025: De acuerdo al Acta de Comité de Proyectos del 14/08 N°07-2025 se informa que:
Se solicita a la Gerencia de Operaciones realizar un informe situacional del proyecto y formalizar su solicitud de cambio para el próximo Comité Ejecutivo de Proyectos.
18/08/25: Según la información enviada de Planeamiento en el mes de Julio se precisa lo siguiente: Al cierre del mes de julio, en el ambiente de calidad, se presentaron observaciones a 03 procesos del servicio atención de solicitudes de depósitos judiciales (Información ATM, Agentes corresponsales y certificado de depósitos judiciales) lo cual fue atendido por el proveedor Belltech (31.07.25). Las observaciones mencionadas han generado retrasos en la ejecución del entregable 02 (04 Bots). 
En relación al entregable 03 (03 Bots), se vio afectado en la fase de desarrollo por la generación de los perfiles para los procesos préstamo multired, hipotecario y consistencia de canje de entrada (cheques). 
18/07/2025: A nivel tareas:
Los 04 procesos del 2do entregable se encuentran en el ambiente de Certificación
Estatus de los Procesos:
Proceso 13: Agentes Corresponsales (Sección Dep. Judiciales), pruebas en QA
Proceso 17: Certificado de Depósitos Judiciales (Sección Dep. Judiciales), pruebas en QA
Proceso 11: Atención de Solicitudes (Sección Dep. Judiciales), pruebas en QA
Proceso 12: Información ATM (Sección Dep. Judiciales), pruebas en QA
Se espera que para el mes de julio se culmine el entregable de los ‘4 bots y para setiembre el entregable de los 03 bots.
11/06/2025:Según la información enviada de Planeamiento en el mes de Mayo se precisa lo siguiente:
Los atrasos se deben a incidencias técnicas presentadas en el proceso ATM (NCR) y de Atención a Solicitudes (perfiles y accesos).
En relación a ATM´s no existe contrato vigente con NCR lo que dificulta la realización de pruebas en desarrollo.
En cuanto atención de solicitudes, seguridad informática tuvo demoras en la asignación de perfiles y accesos.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07/05/2025: Según la información remitida por Planeamiento mediante correo: A nivel proveedor se esta avanzando con el desarrollo de los 4 bots esperando que se concreto lo que se indica en el párrafo anterior.
Queda pendiente la asignación de las credenciales del journal NCR (consultas de ATM).
31/12/2024: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23/05/24 Mediante acta de comité estratégico de proyectos con fecha 06.05/24 se informa que se aprobó el control de cambios del proyecto , los usuarios deben formalizar el nuevo cronograma del proyecto y remitirlo a planeamiento. Validar que el contrato esté firmado y revisar cronograma, 1er entregable inicia el 07/06/24 (Desarrollo, QA, Producción).
03/05/2024 En proceso logístico para el otorgamiento de la Buena pro
05/04/24 Según correo remitido por MOrtiz, menciona la solicitud al área de Logística para ampliar el plazo de solución de consultas y observaciones e integración de bases del proceso de contratación.
21/03/24 Según cronograma ya estan por culminar el proceso logística. P&amp;D agendará una reunión para revisar las siguientes actividades que involucra a TI y cuando se estarían iniciando. Pendiente que el usuario remita modelo de negocio para registrar el Proyecto en la demanda estrategica priorizada.</t>
  </si>
  <si>
    <t>PROATM-EO05-23-3</t>
  </si>
  <si>
    <t>Adquisición e instalación de 454 Cajeros Automáticos</t>
  </si>
  <si>
    <t>La adquisición de Cajeros Automáticos con SVCD se justifica en que requerimos reemplazar cajeros automáticos con más de 10 años de antigüedad e incrementar puntos nuevos para distribuir el volumen transaccional de algunos cajeros a nivel nacional, a fin de mantener la disponibilidad de puntos de atención a nivel nacional, descongestionando ventanillas de oficinas, descentralizando el servicio de retiros de ahorros permitiendo atención 7x24 y atender la demanda requerida para el canal ATM.</t>
  </si>
  <si>
    <t>Enrique Silva</t>
  </si>
  <si>
    <t>Juliana Palomino</t>
  </si>
  <si>
    <t>Cajeros Nuevos</t>
  </si>
  <si>
    <t>14/04/2026: En el mes de marzo, en reunión con la Gerencia General, Gerencia de TI y Gerencia Banca Digital, se solicitó reducir el número de internamiento a 1 y el plazo de instalación; por lo que la Gerencia de Administración y Logística quedó en confirmar la disponibilidad para recibir y almacenar los cajeros en un solo lote, así como realizar su instalación en el plazo más corto.
20/03/2026: Según el acta de reunión del comité de proyectos del mes de enero, el proyecto presentó un ligero retraso al cierre de diciembre 2025. Los documentos enviados a Logística fueron observados y deben ser subsanados y firmados nuevamente, lo que retrasa la convocatoria y todas las actividades siguientes del cronograma. Se debe revaluar la cantidad de ATMs a adquirir, reduciendo en ubicaciones con poca utilización, y evaluar alternativas de menor costo como la opción de alquiler de ATMs.
25/02/2026: Logística remitió las cotizaciones de NCR del Perú y DIEBOLD Nixdorf. Las áreas corresponsables emitieron opinión sobre la propuesta técnica, la cual fue consolidada y enviada por Banca Digital a Logística. Posteriormente, Logística informó que, conforme a la nueva Ley de Contrataciones, debían incorporarse dos cláusulas en las ETMs. Banca Digital remitió la nueva versión a la Subgerencia de Proyectos para su visto bueno, el cual se encuentra pendiente.
21/01/2026: Se ha solicitado a las áreas competentes la revisión y evaluación técnica de las cotizaciones remitidas por las empresas Diebold Nixdorf Perú S.R.L. y NCR del Perú S.A.C. El resultado de la evaluación técnica se envió el día de hoy 09/01/2026 con el memorando número 000007-3251-BN a la Gerencia de Administración y Logística.
30/09/2025: Según la información enviada de Planeamiento en el mes de Septiembre se precisa lo siguiente: Las ETMs debieron ser remitidas a la Gerencia de Logística el 7 de agosto de 2025; sin embargo, fueron enviadas el 14 de octubre de 2025. El retraso se debió al proceso de recopilación de firmas y a las modificaciones en las características de la bóveda de los cajeros pedestal, incorporadas a partir de las recomendaciones de la Subgerencia de Seguridad Física.
25/06/2025 (Omar Sarmiento) Las ETM fueron visadas y remitidas al área usuaria el martes 23 de setiembre mediante MEMORANDO N° 00000275 - 2025-BN/2541
Cabe mencionar, que desde la entrega de las ETM, se ha promovido varias reuniones de trabajo con el usuario, recibiendo modificaciones que han tenido que ser revisadas nuevamente. El último cambio realizado a las ETM por parte del usuario fue el miércoles 17 de setiembre 
16/09/2025:Según la información enviada de Planeamiento en el mes de Agosto se precisa lo siguiente: El 08 de enero de 2025 se declaró la nulidad de oficio del proceso, tras lo cual fue necesario revisar diversos aspectos de su ejecución. En primer lugar, se evaluó la optimización de la red de cajeros automáticos con el fin de determinar el número adecuado de equipos a adquirir. Posteriormente, se realizaron consultas al área Legal y, luego, a la SBS para confirmar que este proceso no constituye un servicio financiero. Con esa precisión, se procedió a modificar las ETMs conforme a la nueva Ley de Contrataciones, tras lo cual el área de Logística remitió el formato actualizado en base al nuevo marco normativo. Finalmente, todas las áreas involucradas se encuentran en la elaboración de las ETMs para sustentar el estudio de mercado correspondiente.
21/08/2025: De acuerdo al Acta de Comité de Proyectos del 14/08 N°07-2025 se informa que:
Se solicita a la Gerencia de Banca Digital enviar a la brevedad posible a la Gerencia de Administración y Logística los ETM's del proyecto.
18/08/25: Según la información enviada de Planeamiento en el mes de Julio se precisa lo siguiente: El proyecto presentó un control de cambio donde ahora los 454 cajeros automáticos van a ser para remplazo. 
13/08/2025: De acuerdo al Acta de Comité de Proyectos del 16/07 N°06-2025 se informa que: Se aprueba la solicitud de cambio donde se cambia el nombre, el presupuesto y la fecha establecida del proyecto.  Asimismo, se solicita a la Gerencia de Banca Digital reunirse con la Gerencia de TI a fin de agilizar los documentos necesarios para cerrar las ETM's y mandarlos a la Gerencia de Logística.
18/07/25: Las ETM´S se encuentran en validación de las áreas involucradas. Se espera tener respuesta para la consolidación de las ETM´s y remisión al área logística - estudio de mercado. Se espera tener la consolidación el lunes 21 de Julio.
Se remitió a Planeamiento Informe de cambio de alcance en el número de ATM´s a adquirir (memorando N°235) indicando que la compra de ATM´s será en total de 454 y solo cajeros. Se ha presentado el 16.07.25 control de cambio en el alcance, presupuesto y fecha fin.
11/06/2025:Según la información enviada de Planeamiento en el mes de Mayo se precisa lo siguiente:
Se esta solicitando al área de infraestructura apoyo para la logística de implementación de ATM´s
El área Logística debe entregar las fechas para el nuevo cronograma en la parte de contratación.
Se espera presentar la Solicitud de Cambios para el Comité de Proyectos del mes de Junio.
03/06/2025: Según la información enviada de Planeamiento mediante correo respecto al proyecto al mes de abril se tiene que: Se identificó la posibilidad de optimizar 120 cajeros mediante reubicación, y se inició la adecuación de las ETMs conforme al marco legal vigente.
21/05/2025: Según el Acta de Reunión N°04-2025 del Comité de Proyecto, se formalizará el control de cambios para el próximo comité indicando el alcance, presupuesto, tiempo y el cronograma de actividades
07/05/2025: Según la información remitida por Planeamiento mediante correo se tiene que: 
La SBS resuelve que la Contratación deberá convocarse por el ámbito de la Ley de Contrataciones del Estado.
Asimismo, se realizó una nueva evaluación de cantidad de ATMs, el cual dio como resultado bajar el número de ATMs a 389.
28/02/25: En elaboración de ETMs como Servicio Financiero
31/01/25: TI entregó las TDR actualizadas al usuario para iniciar el proceso logístico.
31/12/2024: Con fecha 13.12.24, se reunió el Comité de Selección designado, el cual tomo por decisión unánime la pertinencia de devolver el Expediente de Contratación a efecto que se gestione la nulidad de oficio de la licitación.
Con fecha 26.12.24, la LP-05-2024-BN, fue declarado con nulidad de oficio.
23/05/24 Mediante acta de comité estratégico de proyectos con fecha 06.05.24 se aprobó el control de cambios del proyecto, los usuarios deben formalizar el nuevo cronograma del proyecto y remitirlo a planeamiento.  Segun crongorama en dic24 se firma el contrato.
03/05/2024 Se entregó nueva versión visada de las ETM's 
25/04/2024 Mediante Memo N° 63-2024-BN2810 en que se entrega la nueva lista de proyectos con componente TI se asigna el Lider usuario al proyecto, anteriormente no contaba con uno.
19/04/2024 Mediante correo remitido por Juliana Palomina indica que la oficina de Soporte de Infraestructura Tecnológica ha respondido faltan las áreas de Construcción de aplicaciones, Canales presenciales, oficina de seguridad de información y las áreas relacionadas a la declaración Jurada
19/04/2024 Con correo remitido por Martin Nicho se hace notificar las observaciones y consultas de los proveedores Belltech y NCR, se busca respuestas de la Sección Operaciones de la Infraestructura Tecnológica, Sub gerencia de construcción de aplicaciones, Sección de canales presenciales, las áreas involucradas en el proceso de verificación física de los ATMs para la escritura de la declaración jurada en el cumplimiento de las bases, y el pronunciamiento de Seguridad de información. 
20/03/24 Proyecto Nuevo. Se encuentra en proceso logistico solo la parte de adquisición de 614 ATMs (ETMs ). Queda pendiente la gestión del proceso logístico para la instalación (está en evaluación del usuario). El control de cambios se debe realizar por el tiempo, alcance y presupuesto segun corresponda. Pendiente que el usuario remita modelo de negocio para registrar el Proyecto en la demanda estrategica priorizada.</t>
  </si>
  <si>
    <t>PROAMP-EO08-23-9</t>
  </si>
  <si>
    <t>Actualización del Manual de procesos del BN y Elaboración de documentos normativos enfocado a procesos</t>
  </si>
  <si>
    <t>El proyecto se ha constituido con la finalidad identificar y estructurar los diferentes procesos y procedimientos (actividades) que constituyen la totalidad de los Macroprocesos, la formalización se realizará mediante Directivas y Manuales de Procedimientos que norman las responsabilidades, lineamientos y reglas de negocio det proceso, así como la secuencia de tareas, responsables, herramientas,entreotros,formatos,respectivamente</t>
  </si>
  <si>
    <t>Planeamiento y Control de Gestión</t>
  </si>
  <si>
    <t>Iris Javier</t>
  </si>
  <si>
    <t>Miguel Casma</t>
  </si>
  <si>
    <t>Manual de procesos</t>
  </si>
  <si>
    <t>CERRADO
21/08/2025: De acuerdo al Acta de Comité de Proyectos del 14/08 N°07-2025 se informa que:
Se aprueba el cierre del proyecto.
18/08/25: Según la información enviada de Planeamiento en el mes de Julio se precisa lo siguiente: Esta presentado su informe y acta de cierre para ser elevado al Comité ejecutivo de proyectos.
18/07/2025: EN PROCESO DE CIERRE- Para el siguiente comité van a presentar su solicitud de cierre ante el comité ejecutivo de proyectos
11/06/2025:Según la información enviada de Planeamiento en el mes de Mayo se precisa lo siguiente:
Se tienen demoras debido a la falta de un analista de procesos dedicado a la ejecución de directivas y manuales de procedimiento de los macroprocesos. Adicionalmente, la reasignación de miembros del equipo a otras funciones o proyectos ha impactado negativamente. A esto se suma la demora en la revisión y aprobación de las directivas y manuales de procedimiento por parte de las unidades orgánicas rectoras
03/06/2025: Según la información enviada de Planeamiento mediante correo respecto al proyecto en el mes de abril se tiene que: Dos de cinco entregables están listos, pero el avance de los entregables 3 y 4 se ha retrasado. Su finalización depende de la aprobación oficial de las Directivas y Manuales de Procedimientos por las áreas correspondientes.</t>
  </si>
  <si>
    <t>PRODEO-EO08-23-10</t>
  </si>
  <si>
    <t>Análisis y validación del Mapa de Procesos, Diagnóstico de Estructura Organizacional y Estudio de Carga Laboral del BN</t>
  </si>
  <si>
    <t>El proyecto se ha constituido con el fin de lograr un modelo organizacional con un enfoque de procesos; el cual se desarrollará en dos etapas secuenciales, la primera consta del análisis y validación del Mapa de Procesos, Diagnóstico de Estructura Organizacional y Estudio de Carga Laboral del Banco a cargo de una empresa especializada y la segunda estará a cargo de la Subgerencia Desarrollo Organizacional quien evaluará las recomendaciones, elaborará la propuesta final y gestionará la aprobación de los documentos de gestión como son el Reglamento de Organización de Funciones (ROF), el Cuadro de Asignación de Personal (CAP) y el Manual de Organización de Funciones MOF .</t>
  </si>
  <si>
    <t>Luis Avilez</t>
  </si>
  <si>
    <t>Estrategia y Gobernanza</t>
  </si>
  <si>
    <t>Manual de procesos y documentos normativos enfocados a procesos</t>
  </si>
  <si>
    <t>No Aplica</t>
  </si>
  <si>
    <t>IMPLEMENTADO
11/06/2025:Según la información enviada de Planeamiento en el mes de Mayo se precisa lo siguiente:
Se considera las tareas cerradas. 
03/06/2025: Según la información enviada de Planeamiento mediante correo respecto al proyecto en el mes de abril se tiene que: Los ocho entregables clave del proyecto, incluyendo el MOF, ROF y CAP, ya están aprobados. Aunque falta documentación formal y de cierre, el proyecto se considera sustancialmente terminado.
21/05/2025: Según el Acta de Reunión N°04-2025 del Comité de Proyectos, se aprobó el Control de Cambios con fecha final a diciembre del 2025.
07/05/2025: Según la información remitida por Planeamiento mediante correo: Se han completado 7 de los 9 entregables. El 8vo está pendiente de cierre, a la espera de la aprobación del directorio del Documento de Gestión CAP.
31/12/2024: Solo faltaría la aprobación del CAP y finaliza con actividades del cierre del proyecto.
23/05/24 Se esta trabajando con Proveedor Xperta. Presentarán un control de cambio.
09/04/24 Se introdujo información del dashboard consolidado de proyectos al 31.02.24 que se menciona que el proyecto tiene un avance del 35% valor que se repite desde Diciembre 2023.</t>
  </si>
  <si>
    <t xml:space="preserve">Centro de Operaciones de Ciberseguridad </t>
  </si>
  <si>
    <t>Acta N°10-2023</t>
  </si>
  <si>
    <t xml:space="preserve"> </t>
  </si>
  <si>
    <t>Operaciones de Ciberseguridad</t>
  </si>
  <si>
    <t>Mediante acta de 10-2023 del 11/12 se aprobó la división en 4 Proyectos.</t>
  </si>
  <si>
    <t>Centro de Operaciones de Ciberseguridad 1 – Servicio Solución de Seguridad contra Boots</t>
  </si>
  <si>
    <t>Servicio Solución de Seguridad contra Bots</t>
  </si>
  <si>
    <t>Ana Li</t>
  </si>
  <si>
    <t>Ricardo Siancas</t>
  </si>
  <si>
    <t>COC01</t>
  </si>
  <si>
    <t>Ana María Li</t>
  </si>
  <si>
    <t>IMPLEMENTADO
23/05/24 De acuerdo al correo del MIsabel del 23/05 el proyecto esta implementado. TI remitió acta de cierre  y lecciones aprendidas.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21/03/24 Culminaron los TDR, se encuentran en estudion de mercado y finalizando los formatos de riesgos. Registrado en la demanda estratégica priorizada</t>
  </si>
  <si>
    <t xml:space="preserve">Centro de Operaciones de Ciberseguridad 2 - Protección avanzada en endpoints y la red del BN </t>
  </si>
  <si>
    <t>Servicio de Solución para la Protección avanzada en End-points y la red del BN</t>
  </si>
  <si>
    <t>COC02</t>
  </si>
  <si>
    <t>IMPLEMENTADO
23/05/24 En Marzo24 se dio inicio a la ejecución.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25/04/2024 Mediante Memo N°60-2024-BN2810 se informa que se requiere el informe de las razones del retraso del proyecto asi como sus acciones correctivas para la presentación al comité del 26.04 
21/03/24 Se firmó el contrato el 08/02/24 y se dio inicio a la implementación. Registrado en la demanda estratégica priorizada</t>
  </si>
  <si>
    <t xml:space="preserve">Centro de Operaciones de Ciberseguridad 3 - Gestión de Vulnerabilidades </t>
  </si>
  <si>
    <t>Gestión de vulnerabilidades y Políticas de FW</t>
  </si>
  <si>
    <t>COC03</t>
  </si>
  <si>
    <t>IMPLEMENTADO
31/12/2024: Se culminó con todas las tareas planificadas para el proyecto:
*Suscripción herramienta de Análisis de Vulnerabilidades: 100%
*Implementación herramienta de Vulnerabilidades – Wazuh:  100%
*Servicio de Soporte Especializadas en Inteligencia de Ciberseguridad:  100%
*Servicio Escaneo Externo Asv Pci: 100% 
*Servicio de Prueba de Penetración a Base De Datos: 100% 
23/05/24 Cuenta con 5 fases, pendiente soporte especializado, escaneo externo, prueba de penetración a BD (con retraso).
25/04/2024 Mediante Memo N° 63-2024-BN2810 en que se entrega la nueva lista de proyectos con componente TI en el mismo se registra nuevo Lider del proyecto por lo que se procede al cambio correspondiente de Ricardo Siancas a Ana Li. Se constata que el proyecto fue aprobado el 11.12.23 según acta de comité. 
21/03/24 Seguridad Informática se encuentra actualizando los TDRs. Registrado en la demanda estratégica priorizada</t>
  </si>
  <si>
    <t xml:space="preserve">Centro de Operaciones de Ciberseguridad 4 - Gestión de Correlación de Eventos </t>
  </si>
  <si>
    <t>Gestión de correlación de eventos</t>
  </si>
  <si>
    <t>COC04</t>
  </si>
  <si>
    <t>IMPLEMENTADO
02/04/2024: Se comunico en el ultimo Comité de Proyectos, estado implementado  
21/03/24 Esta paralizado, por que están evaluando por dos meses el comportamiento de la herramienta el Wazuh "reporte de alerta y amenazas". Si está herramienta funciona bien, se descartará el proyecto en coordinación con P&amp;D. Registrado en la demanda estratégica priorizada</t>
  </si>
  <si>
    <t>Digitalización de documentos, uso de firma electrónica avanzada y titulo valor electrónico, en el otorgamiento de créditos minoristas en canales minoristas en canales no presenciales</t>
  </si>
  <si>
    <t>Productos e Inclusión Financiera</t>
  </si>
  <si>
    <t>Digitalización de documentos y uso de firma electrónico avanzada</t>
  </si>
  <si>
    <t>05. Descartado</t>
  </si>
  <si>
    <t>Mediante acta de 10-2023 del 11/12 se cerró para considerar como Proyecto de mejora.</t>
  </si>
  <si>
    <t>Rediseño y desarrollo de Banca Personal en canales no presenciales (App, Web y Empresas externas de ventas).</t>
  </si>
  <si>
    <t>Rediseño de Banca Personal en canales no presenciales</t>
  </si>
  <si>
    <t>Mejora y ampliación de canales externos para el otorgamiento de préstamos Multired-IVR</t>
  </si>
  <si>
    <t>Piero Flores</t>
  </si>
  <si>
    <t>Préstamos Multired</t>
  </si>
  <si>
    <t>Pedro Encalada</t>
  </si>
  <si>
    <t>IMPLEMENTADO
23/05/2024 Mediante acta del Comité Estratégico de proyectos de fecha 06.05.24 se informa la aprobación del control de cambios del proyecto, los usuarios deben formalizar el nuevo cronograma del proyecto y remitirlo a planeamiento. Validar que prestamo por Call Center esté en marcha blanca.
03/05/2024 Se atendió la implementación de préstamos Multired por IVR
26/04/2024 Con correo emitido por Yamela Valenzuela se entrega la propuesta del cronograma del proyecto esperando   la respuesta.
21/3/2024 Se agendará una reunión para revisar las siguientes actividades que involucran a TI. Pendiente que el usuario remita modelo de negocio para registrar el Proyecto en la demanda estrategica priorizada.</t>
  </si>
  <si>
    <t>Diagnostico de Madurez de Gestion de Proyectos y Plan de Trabajo de Implementacion de PMO</t>
  </si>
  <si>
    <t>Establecer una estructura y procesos para promover una cultura de proyectos y elevar el nivel de madurez del Banco en la gestión de proyectos. Se desarrollarán mecanismos de seguimiento, control y comunicación con los interesados, se mejorarán las metodologías y herramientas de gestión de proyectos, y se gestionarán las metodologías, estándares, riesgos, oportunidades, métricas e interdependencias entre proyectos. Además, se brindará capacitación a los equipos de gestión de cartera y proyectos para fortalecer sus habilidades y conocimientos.</t>
  </si>
  <si>
    <t>Personas y Cultura Organizacional</t>
  </si>
  <si>
    <t>Proyectos y PMO</t>
  </si>
  <si>
    <t>IMPLEMENTADO
31/12/2024: Falta de personal en el equipo. Asimismo, las tareas pendientes requieren coordinaciones entre las áreas responsables, lo cual está tomando más tiempo del previsto.
09/04/24 Se introdujo información del dashboard consolidado de proyectos al 31.02.24 que se menciona que el proyecto a culmiado a Diciembre del 2023</t>
  </si>
  <si>
    <t>Plan de Transfomación Cultural BN</t>
  </si>
  <si>
    <t>Crear las condiciones necesarias para fomentar un cambio de mentalidad y comportamiento en todos los niveles de la organización, promoviendo una cultura de colaboración, flexibilidad, adaptabilidad y aprendizaje constante. Se implementarán iniciativas como programas de capacitación, comunicación interna, establecimiento de espacios de trabajo colaborativos y promoción de la participación activa de los empleados en la identificación y ejecución de mejoras.</t>
  </si>
  <si>
    <t>Recursos Humanos y Cultura</t>
  </si>
  <si>
    <t>Cultura BN</t>
  </si>
  <si>
    <t xml:space="preserve">08/04/2025: Mediante el Acta de Reuniòn 01-2025 del Comitè de Proyectos se aprobò la exclusiòn del proyecto del Portafolio de Proyectos debido a que las actividades contempladas a cargo de la secciòn de Cultura Organizacional estan contempladas dentro del marco de sus funciones asignadas y son actividades recurrentes. 
23/05/24 En ejecución
09/04/24 Según informe consolidado del dashboard de oproyectos al 31.02.24 se registra la operación con un avance del 25% cumpliendo lo planificado </t>
  </si>
  <si>
    <t>Implementación de un gestor integración por API'S.</t>
  </si>
  <si>
    <t>Implementación de una arquitectura tecnológica basada en Interface de Programación de Aplicaciones (API’s), incluyendo el despliegue de un API Gateway y Management, considerando la reutilización de lógica de negocio existente en los sistemas Legacy en combinación con nuevos desarrollos en plataformas tecnológicamente modernas en el Banco de la Nación.</t>
  </si>
  <si>
    <t>Fernando Avellaneda</t>
  </si>
  <si>
    <t>Gestor por API'S</t>
  </si>
  <si>
    <t>IMPLEMENTADO
09/04/24 Según el Dashboard de proyectos a 31.02.24 el proyecto se encuentra como culminado a Octubre del 2023, valor que se repite desde Diciembre 2023.  Se ingresa la información correspondiente.</t>
  </si>
  <si>
    <t>PROIGD-EO08-23-32</t>
  </si>
  <si>
    <t>Implementación de Gobierno de Datos</t>
  </si>
  <si>
    <t>Debido a que el BN no cuenta con un programa de gobierno de datos que integre políticas, procesos, prácticas y tecnologías diseñadas para asegurar la calidad, integridad, disponibilidad y seguridad de los datos es que se crea el proyecto, para garantizar el acceso y uso adecuado de los datos</t>
  </si>
  <si>
    <t>GIT</t>
  </si>
  <si>
    <t>Juan Berrospi</t>
  </si>
  <si>
    <t>Recursos Propios</t>
  </si>
  <si>
    <t>Gobierno Datos</t>
  </si>
  <si>
    <t>23/03/2026: Para el cierre de febrero, se formaliza el cierre del proyecto según acuerdos de comité (23.01.26 y 03.03.2026), retirándolo del portafolio y gestionando el acta de cierre y lecciones aprendidas. Al cierre de febrero se alcanzó un 93% de avance, completando el marco normativo y de gobierno de datos, quedando pendientes el plan de comunicación/capacitación y el de metadatos y taxonomías.
20/03/2026: Según el acta de reunión del comité de proyectos del mes de enero, el proyecto marchó de acuerdo a lo planificado al cierre de diciembre 2025. El marco normativo de gobierno de datos fue implementado, incluyendo Política, Directiva, MAPRO, Estrategia y calidad de datos. El proyecto será retirado del Portafolio de proyectos, dado que las actividades que viene realizando son parte de sus funciones y requieren un alcance más amplio y consistente con las obligaciones normativas y operativas del BN.
25/02/2026: El documento de Dominio de datos fue aprobado por la Gerencia de Innovacion y Transformacion Digital el pasado 21,01,2026. El caso de la inclusión de los datos a las Mapros que comprenden el dominio cliente, se retomo con la asignación de un nuevo analista de la subgerencia de Desarrollo.
21/01/2026: El marco normativo de Gobierno de Datos ya fue implementado e incluye Política, Directiva, MAPRO de Gobierno de Datos, Estrategia y Calidad de Datos. En materia de Calidad de Datos, se implementó la directiva BN-PRO-7800-178-01 – Manual de Procedimientos para medir la calidad de los datos. Respecto al plan, se viene desarrollando el proceso de gobierno del dominio Clientes, incorporando los datos en los Manuales de Procesos. Actualmente, la Subgerencia de Desarrollo mapea los datos del proceso de apertura de cuentas, como parte de los 8 dominios del Banco. Culminado el mapeo y la aprobación de los dominios, la Gerencia de Planeamiento iniciará la comunicación de roles y responsabilidades en el marco de Gobierno de Datos.
30/09/2025: Según la información enviada de Planeamiento en el mes de Septiembre se precisa lo siguiente: Al cierre del mes de setiembre, se va ejecutándose según lo planificado. Se encuentra en espera la programación para la reunión del Comité de Gobierno y Transformación, estimado para el mes de octubre, para la aprobación del Informe de Dominios de Datos. Una vez aprobado el informe, se procederá a comunicar a los propietarios de los datos los roles, funciones y responsabilidades a los propietarios de los datos.
16/09/2025:Según la información enviada de Planeamiento en el mes de Agosto se precisa lo siguiente: Al cierre del mes de agosto, viene ejecutándose en un porcentaje mayor a lo planificado. Asimismo, el informe del dominio de datos fue elevada al comité de Gobierno y Transformación Digital, para su sesión fue reprogramada para el 02.09.25; en ese sentido, luego de su socialización se ha remitido un correo solicitando la colaboración de las áreas involucradas para obtener el visto bueno correspondiente y, de esta manera, poder elevarlo al Comité en la nueva fecha. 
Una vez aprobado, se procederá a comunicar los roles, funciones y responsabilidades de calidad de datos a los propietarios de los datos.
18/08/25: Según la información enviada de Planeamiento en el mes de Julio se precisa lo siguiente: El proyecto viene ejecutándose de acuerdo a lo planificado, a nivel de tareas con un avance mayor a lo esperado. Asimismo, con respecto al plan de comunicación y capacitación, se cuenta con el informe de Dominios de datos del banco, el cual ha sido elevado al comité de gobierno y transformación digital para su aprobación en su próxima sesión (se estima en agosto próximo).
18/07/2025: A nivel tareas al 30.06.25, se viene revisando el documento de roles y responsabilidades de los Dueños de Datos del dominio Cliente, con miras a su envío a la Gerencia de Planeamiento para su posterior comunicación con los lideres de datos (dueños de los procesos). 
11/06/2025:Según la información enviada de Planeamiento en el mes de Mayo se precisa lo siguiente:
En relación con el documento de asignación de roles dentro de la estructura de Gobierno de Datos, se han recibido las opiniones técnicas por parte de las áreas de Recursos Humanos y Asesoría Legal. En ese marco, se procederá a remitir el documento a la Gerencia de Planeamiento, a fin de que esta, en su calidad de unidad funcionalmente competente, lo canalice hacia los Líderes de Datos del Dominio Clientes.
Se ha elaborado el Informe de Dominios de Datos del Banco de la Nación, el cual se tiene previsto presentar al Comité de Gobierno y Transformación Digital para su revisión y aprobación formal.
03/06/2025: Según la información enviada de Planeamiento mediante correo respecto al proyecto en el mes de abril se tiene que: Con respecto al fortalecimiento del área, oficina o función de Gobierno de Datos se incorporó personal practicante, asu vez, el concurso externo que se encuentra en curso proyectando incorporar (01) especialista en machine learning y (01) analista de calidad de datos. Se ha elaborado el documento de asignación de roles y responsabilidades referidos al dominio cliente remitido a las áreas involucradas (Legal y Recursos Humanos) para su revisión y opinión formal.
07/05/2025: Según la información remitida por Planeamiento mediante correo: Se aprobó la directiva de Gobierno de Datos del BN, asimismo se viene entrevistando al personal para la subgerencia de datos y analítica avanzada con fines de fortalecimiento del área,  Se ha elaborado el documento de asignación de roles y responsabilidades referidos al domino cliente remitiendo a las áreas involucradas (Gerencia de Operaciones, Subgerencia de Pagaduría, OPLAFT, TI, BPIF, Red de Agencias, Riesgos) para su opinión.
31/12/2024: Entre las actividades se encuentra en curso el proceso de publicación de la directiva de gobierno de datos la misma que permitirá formalizar la comunicación de los roles, funciones y responsabilidades de calidad de datos, asimismo permitirá iniciar las reuniones con la gerencia de planeamiento para definir e inventariar los metadatos y taxonomía.
23/05/24 Se encuentran elaborando las directivas asociadas, no tienen componente tecnológico.
13/05/2024 A la espera del Anexo 1 para la incorporación del proyecto a la demanda estratégica
03/05/2024 En revisión de la estrategia de Gobierno de Datos
25/04/2024 Mediante Memo N° 63-2024-BN2810 en que se entrega la nueva lista de proyectos con componente TI en el mismo se registra nuevo Lider del proyecto por lo que se procede al cambio correspondiente de Luis Lavado a Juan Berrospi.
21/3/2024 Proyecto Nuevo. Según cronograma, TI participará en la actividad de implementación del la aquitectura de Datos (se estima set24)
11/12/2023: Mediante Acta de Comité Ejecutivo de Proyectos N°010-2023 se aprobó el proyecto</t>
  </si>
  <si>
    <t>PROTAIT-EO10-24-36</t>
  </si>
  <si>
    <t>Traslado y Alojamiento de Infraestructura Tecnológica del actual Centro de datos de respaldo BN - San Isidro</t>
  </si>
  <si>
    <t>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t>
  </si>
  <si>
    <t>Acta Nº2-2024</t>
  </si>
  <si>
    <t>Traslado Centro Datos</t>
  </si>
  <si>
    <t>Jesus Chavarría</t>
  </si>
  <si>
    <t>CERRADO
26/08/2025: De acuerdo al Acta de Comité de Proyectos del 16/07 N°06-2025 se informa que:  Se aprobó el cierre formal del proyecto.
18/07/2025: Considerando que se ha logrado el objetivo estratégico del proyecto mediante la permanencia asegurada del Centro de Datos de Respaldo en su ubicación actual, se considera oportuno cerrar el proyecto ya que la necesidad de trasladar el centro de datos ya no esta latente y tenemos una ampliación de plazo debido a una negociación con el TC. Ante ello, la gerencia de TI solicitó el cierre del proyecto dentro del portafolio de proyectos.
11/06/2025:Según la información enviada de Planeamiento en el mes de Mayo se precisa lo siguiente: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07/05/2025: Según la información remitida por Planeamiento mediante correo: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(06 oct 2029).
31/12/2024: El proyecto se encuentra a la espera de la respuesta del Tribunal Constitucional para que indiquen si el tiempo de permanencia del centro de datos se aplaza o no.
23/05/24 TI concluyo con la alaboración del TDR, pendiente envío a Logistica para inicio de estudio de MErcado.
03/05/2024 En elaboración de TDR's y otros documentos para iniciar el estudio del mercado.
25/04/2024 Mediante Memo N° 63-2024-BN2810 en que se entrega la nueva lista de proyectos con componente TI en el mismo se registra nuevo Lider del proyecto por lo que se procede al cambio correspondiente de José Macedo a Alejandro Sifuentes. 
10/04/2024 Con correo se envía el memorando N°00000044-2024-BN/2810 "Retraso de envío de información"  comunica que el pedido fue atendido mediante memorando 00000012-2024-BN/2540 a la fecha de 08.04.2024.
Proyecto fue aprobado por el Comité ejecutivo de Proyectos el 27.03.2024 solicitando ajustes a los documentos iniciales que fueron atendidos y enviados por medio de correo.</t>
  </si>
  <si>
    <t>PROTTES-EO04-24-34</t>
  </si>
  <si>
    <t>Tarjeta Tesoro</t>
  </si>
  <si>
    <t>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t>
  </si>
  <si>
    <t>Cecilia Arias</t>
  </si>
  <si>
    <t>Peter Valencia</t>
  </si>
  <si>
    <t>Por asignar</t>
  </si>
  <si>
    <t>23/03/2026: En el cierre de febrero, la falta de respuesta del MEF sobre el diseño de tarjetas y la normativa ha condicionado el avance, impidiendo cumplir lo planificado; por ello, en el Comité del 03/03/2026 se acordó retirarlo de la cartera de proyectos estratégicos.
20/03/2026: Según el acta de reunión del comité de proyectos del mes de enero, el proyecto presentó retraso al cierre de diciembre 2025. Se confirmó la participación del Ministerio de Relaciones Exteriores, MEF y Tesoro Público, iniciándose las pruebas en enero 2026. La Directiva "Tarjeta de crédito corporativa" se encuentra en validación, con opinión pendiente de Fraude y Riesgo. Existe dependencia del MEF para el diseño de las tarjetas, con respuesta esperada a mediados de febrero 2026. La Gerencia de Planeamiento y Control de Gestión debe solicitar a la gerencia responsable y a TI la cuantificación de horas invertidas en el proyecto a fin de definir la continuidad del mismo.
25/02/2026: El Proyecto Tarjeta Tesoro se encuentra en fase piloto, ejecutándose en un ambiente controlado de producción con la participación de dos Entidades Públicas. El piloto se mantendrá hasta el segundo trimestre de 2026, periodo en el que se evaluarán los resultados operativos, técnicos y funcionales. Paralelamente, se realizan coordinaciones con el MEF para la aprobación de los diseños de las tarjetas, los documentos normativos y la definición del calendario de implementación, necesarios para el inicio formal del servicio a nivel institucional.
21/01/2026: Marcha Blanca:
En diciembre se confirmó la participación del Ministerio de Relaciones Exteriores, MEF y Tesoro Público, iniciándose las pruebas el siguiente mes.
Aprobación y publicación de Directiva y Macroproceso:
Se creó la Directiva “Tarjeta de crédito corporativa”, actualmente en validación; Fraude y Riesgo se encuentran pendientes de emitir opinión.
Diseño y fabricación del material de difusión:
La parte informativa ya fue elaborada; sin embargo, existe dependencia del MEF para el diseño de las tarjetas, sin respuesta a la fecha.terial de difusión ya se encuentra elaborada. Sin embargo, existe una dependencia del MEF para el diseño de las tarjetas, lo cual hasta el momento no se tiene respuesta.
30/11/2025: El equipo del proyecto informó que durante el mes de noviembre no hubo avances en las actividades del proyecto, El único movimiento registrado fue el envío de una carta al MEF solicitando la conformidad del diseño de las tarjetas.
Se evaluará iniciar el desarrollo de la Tarjeta para los trabajadores del BN.” Esto significa que el equipo técnico está considerando avanzar con una versión interna del producto (una tarjeta dirigida a los trabajadores del Banco) mientras esperan la aprobación del MEF. Esta alternativa podría permitir avanzar parcialmente el desarrollo, pero requiere análisis formal porque podría generar cambios en alcance, tiempos o costos.
31/10/2025: Según la información enviada de Planeamiento en el mes de Octubre se precisa lo siguiente: Se presentará en el siguiente Comité de Proyectos la actualización del cronograma de trabajo
30/09/2025: Según la información enviada de Planeamiento en el mes de Septiembre se precisa lo siguiente: Se continua  con las validaciones operativas en producción de manera controlada en canales BN ( ventanilla, Atm y Agente Corresponsal ) con tarjetas blancas. La nueva fecha de prueba se efectuará en la 2da semana de octubre en coordinación con el MEF. Se ha enviado una segunda carta al MEF para la aprobación de los diseños de las tarjetas.
16/09/2025:Según la información enviada de Planeamiento en el mes de Agosto se precisa lo siguiente: En el mes de agosto se confirmaron las nuevas Entidades que participarán en el último piloto de pruebas (marcha blanca) autorizado por el Ministerio de Economía y Finanzas (MEF). A estas entidades se les brindó capacitación, así como el acceso a usuarios y la entrega de tarjetas de crédito correspondientes.
Asimismo, con fecha 18 de agosto, en reunión sostenida con el MEF, se aprobaron los diseños de las tarjetas, los cuales han sido remitidos al proveedor para su diagramación.
Finalmente, se informa que la nueva fecha de culminación de la marcha blanca ha sido programada para fines de noviembre de 2025.
21/08/2025: De acuerdo al Acta de Comité de Proyectos del 14/08 N°07-2025 se informa que:
Se solicita a la Gerencia de Productos e Inclusión Financiera realizar un informe situacional del proyecto y formalizar su solicitud de cambio para el próximo Comité Ejecutivo de Proyectos. Además, se solicita a la Gerencia de Riesgos un informe de Riesgos.
18/08/25: Según la información enviada de Planeamiento en el mes de Julio se precisa lo siguiente: Avance de julio: Se realizaron coordinaciones con las entidades que participarán en la marcha blanca (piloto de prueba) autorizada por el MEF.
Hito del 4 de agosto: Reunión con el Comité de Proyectos del MEF para aprobar el diseño de las tarjetas. El MEF solicitó ajustes en los colores, Dichos cambios se gestionarán con la Gerencia de Imagen y Relaciones Institucionales.
Nuevo plazo: La marcha blanca concluirá a fines de octubre de 2025.
Acción necesaria: En agosto se presentará el Anexo 9 para formalizar la modificación del cronograma del proyecto.
13/08/2025: De acuerdo al Acta de Comité de Proyectos del 16/07 N°06-2025 se informa que:
Se solicita a la Gerencia de Productos e Inclusión
Financiera asegurar que la parte contable del producto se encuentre contemplada dentro
de la ejecución del proyecto. Asimismo, se precisó que aún no se contaba con la conformidad del diseño de las tarjetas, lo que es necesario para su emisión y que implica un tiempo aproximado de
dos meses de acuerdo a lo indicado por la Gerencia de Administración y Logística.
18/07/2025: Se culminará en el ambiente de producción los ciclos de prueba y las mejoras a los reportes contables / operativos del producto. El retraso de las actividades se debe a que el MEF modificó las Unidades Ejecutoras para el piloto en producción, motivo por el cual se están realizando las coordinaciones con la nueva Unidad Ejecutora. Se está a la espera de la confirmación del diseño de tarjetas y la normativa del MEF.
Se estima que la marcha blanca culmine en Setiembre 2025 en paralelo con las demás actividades pendientes.
11/06/2025:Según la información enviada de Planeamiento en el mes de Mayo se precisa lo siguiente:
La demora en el pase a Producción Fase IV está afectando la fase de marcha blanca. Además, la reciente solicitud de especificar los procesos contables podría obligar a un control de cambios en mayo para ajustar el plan original del proyecto.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07/05/2025: Según la información remitida por Planeamiento mediante correo: Se han completado 5 de los 10 entregables. A pesar de los retrasos de Izipay, las pruebas en POS comenzarán en abril. El equipo de Desarrollo del BN trabaja para cumplir los plazos y completar los entregables restantes.
31/12/2024: Ciclos de pruebas en marcha (379 Ok / 617 Total). Se esta coordinando y resolviendo día a día con proveedor y TI. A la par ya culminaron con remitir solicitud de cambio y cronograma de actividades para que sea aprobado por el comité.
13/05/2024 A la espera del Anexo 1 para poder incorporar el proyecto a la Demanda Estratégica
25/04/2024 Mediante Memo N° 63-2024-BN2810 en que se entrega la nueva lista de proyectos con componente TI se crea el proyecto en base de datos y se asigna el Lider usuario al proyecto, anteriormente no existia .</t>
  </si>
  <si>
    <t>PROPBMBI-EO10-24-36</t>
  </si>
  <si>
    <t>Plataforma Banca Móvil y Banca por Internet</t>
  </si>
  <si>
    <t>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t>
  </si>
  <si>
    <t>Ennio Palomino</t>
  </si>
  <si>
    <t>Acta Nº4-2024</t>
  </si>
  <si>
    <t>Banca Móvil / Banca por Internet</t>
  </si>
  <si>
    <t>Anyelina Cortez / Stephanic Urtecho</t>
  </si>
  <si>
    <t>14/04/2026: En el mes de marzo se presentaron redefiniciones tecnológicas que generaron retrasos en el cronograma —Clave Dinámica Digital (15/08/2025 – 04/03/2026), Encriptación del PIN y del PAN (30/10/2025 – 10/03/2026) y Redefinición del acceso y arquitectura del Mainframe (26/01/2026 – 13/03/2026), entre el 05/03/2026 y 10/03/2026 PERUAPPs cambió personal clave por la reevaluación de lo avanzado en documentación de calidad y desarrollo, realizando una revisión total; adicionalmente, se solicitó apoyo a la Gerencia de TI para asignación de personal a tiempo parcial que valide y anticipe requerimientos técnicos del proveedor, sin obtener respuesta acorde a la magnitud del proyecto, constituyendo stoppers que impiden el comienzo integral sin reproceso proyectado para el 26/11/2025.
20/03/2026: Según el acta de reunión del comité de proyectos del mes de enero, si bien el proyecto cumplió en diciembre 2025, se han redefinido puntos pendientes de resolución: a) la clave dinámica digital será realizada por el proveedor, b) la encriptación del PIN y PAN de la tarjeta será realizada por un proveedor distinto al principal, y c) se encuentra pendiente confirmación del componente de arquitectura (WAS). Debido a ello, las pruebas funcionales no han iniciado aún.
25/02/2026: El 30/01/2026 TI emitió el informe técnico de conformidad e Innovación Digital el acta de conformidad, recogida por PERUAPPs; sin embargo, persisten tres stoppers que afectan las pruebas funcionales: definiciones pendientes de PERUAPPs sobre la Clave Dinámica Digital (TI solicitó diagrama de arquitectura), la redefinición del Microservicio de Encriptación pendiente desde octubre 2025 sin entrega por el BN, y un nuevo stopper del 26/01/2026 por la redefinición de la arquitectura de llegada al Gateway, pese a lo definido en setiembre 2025.
21/01/2026: Durante el mes de diciembre se identificaron nuevos requerimientos de seguridad, incluyendo la implementación de un dispositivo de encriptación, para lo cual TI–Seguridad elabora un TDR; este requerimiento impacta el proceso de enrolamiento de la tarjeta de débito.
Asimismo, se identificó un requerimiento emergente para integrar SARAWEB al proyecto y se coordinó con Fraudes la disponibilidad de información para el repositorio institucional, condicionada a que Sentinel esté operativo para el MVP 2.
Finalmente, continúan las gestiones con OSIPTEL, con demoras en las respuestas que podrían afectar el cronograma del proyecto.
30/11/2025: "En el mes de noviembre se brindado las conformidades de:
- Informe de Consumo en Nube del Mes de Abril - 2025. 
- Informe de Consumo en Nube del Mes de Mayo - 2025. 
A su vez el 21/11/2025 TI brindo el informe de conformidad técnica Informe_N-66-BN-2530 del CNAPP
A su vez se manifiesta que las coordinaciones y configuraciones del Antibot de Radware el cual es un componente de seguridad del BN, esta manteniendo coordinaciones emergentes entre los equipos de BN, RADWARE y PERUAPPs, lo cual ha denotado solicitudes aplazamiento del plazo limite de entrega de parte del PERUAPPs, dado que las coordinaciones del BN continuan con los equipos de RADWARE y a la fecha se estima la entrega del Informe del antibot el 11/12/2025 por parte de PERUAPPs."
31/10/2025: Según la información enviada de Planeamiento en el mes de Octubre se precisa lo siguiente: "El 6 de octubre de 2025 se otorgó la conformidad al informe correspondiente a la infraestructura del ambiente de aseguramiento de calidad (QA). Asimismo, se brindó la conformidad respecto al consumo del mes de marzo de los componentes de la infraestructura base, al despliegue del componente de seguridad Firewall y al componente de seguridad WAF de F5. Actualmente, se encuentra en proceso de implementación el componente de seguridad CNAPP.
Por otro lado, se ha solicitado a la Gerencia de Planeamiento y Control de Gestión la emisión de un control de cambios con el fin de sincerar la ejecución del cronograma del proyecto."
30/09/2025: Según la información enviada de Planeamiento en el mes de Septiembre se precisa lo siguiente: Durante setiembre se registraron avances sostenidos en la implementación de la infraestructura del ambiente de aseguramiento de calidad (QA), el entorno de seguridad, así como en la revisión de la configuración de servidores y el acceso a la base de datos. Sin embargo, en el desarrollo del cronograma, el proveedor y el Banco de la Nación identificaron actividades no previstas que requirieron un plazo adicional de treinta y nueve (39) días. Estas acciones que incluyeron la habilitación de accesos, instalación de software especializado, documentación de los servicios del BDUC y WEB6000, definiciones para la implementación de la Clave Dinámica Digital en la nube y configuraciones asociadas a componentes antifraude y control de listas PEP resultaron esenciales para garantizar las condiciones técnicas y de seguridad previas al inicio de la etapa de Codificación y Pentesting del MVP1. En ese contexto, se viene gestionando un control de cambios con el fin de actualizar y sincerar el cronograma del proyecto, incorporando las actividades adicionales identificadas.
16/09/2025: Según la información enviada de Planeamiento en el mes de Agosto se precisa lo siguiente: Actualmente se esta realizando avances significativos en la implementación de la infraestructura del ambiente de QA, lo que ha permitido sentar las bases para las siguientes actividades del proyecto. La actividad debía concluir el 05/03/2025; sin embargo, su desarrollo se vio afectado por el desplazamiento de las fechas originales del cronograma, debido al retraso en la entrega del Análisis Funcional y a la necesidad de elaborar una Adenda vinculada al entregable de Infraestructura Base, motivada por la incorporación de una definición técnica no contemplada en los términos de referencia. Como consecuencia, algunas actividades tecnológicas presentan retrasos asociados al despliegue de la infraestructura del ambiente base. Esta situación fue documentada en la Adenda N.° 2, donde se sustenta la reprogramación de la fecha de entrega. Actualmente, se proyecta concluir esta actividad el 18/09/2025.
21/08/2025: De acuerdo al Acta de Comité de Proyectos del 14/08 N°07-2025 se informa que:
Se solicita a la Gerencia de Banca Digital realizar un informe situacional del proyecto y formalizar su solicitud de cambio para el próximo Comité Ejecutivo de Proyectos.
18/08/25: Según la información enviada de Planeamiento en el mes de Julio se precisa lo siguiente: El proyecto tiene un retraso de aproximado de 5 meses por demoras en el análisis funcional (finalizado el 30/06) y en el diseño de cómo se ve y se usa la aplicación (finalizado el 08/07). Las adendas del contrato y cartas al proveedor modificaron plazos clave, incluyendo los servicios en la nube. El plazo contractual de 420 días es limitado y se evidenció falta de experiencia técnica del proveedor.
13/08/2025: De acuerdo al Acta de Comité de Proyectos del 16/07 N°06-2025 se informa que:
La Gerencia de Banca Digital indicó que se llevará a cabo una adenda con el proveedor del proyecto. En virtud de ello, se solicita se disponga las medidas necesarias para llevar a cabo la firma
de la adenda.
18/07/2025: Presenta retrasos debido al incumplimiento de (03) entregables por parte de la empresa contratada: 
*Funcionalidad (Casos de Uso), actualmente Banca Digital está procediendo a hacer la verificación del cumplimiento de lo solicitado según TDR para emitir el acta de conformidad. infraestructura y user testing.
*Infraestructura: Se ha completado el informe técnico sobre la infraestructura base en la nube sobre la cual se desplegará el desarrollo del proyecto. TI procederá con la revisión, para según conclusión, emitir el acta de conformidad respectiva.
*Diseño UX/UI – Experiencia de usuario: al 90% concluido el informe UX/UI,  el cual se encuentra pendiente de ingreso por parte del proveedor para su conformidad.
11/06/2025:Según la información enviada de Planeamiento en el mes de Mayo se precisa lo siguiente:
Incumplimiento de (03) entregables por parte de la empresa contratada relacionados a los temas de funcionalidad (Casos de uso), infraestructura y user testing.  Cabe resaltar que se firmó la adenda de mejora el 30.05.2025; sin embargo, está pendiente el cronograma consensuado con TI.
El área usuaria gestionará la solicitud de cambios por parte del área líder del proyecto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02/06/2025 En daily del 29/5/2025  se indico que Segunda Adenda se encuentra en Logistica. Asimismo las Epicas 1 y 2 se encuentraban firmadas y en procesos de firmas la Epica 3.
23/05/2025: Se registra el Proyecto Nueva Plataforma de Banca Móvil y Banca por Internet. Se registró en el Backlog.
07/05/2025: Según la información remitida por Planeamiento mediante correo: Se encuentra pendiente por parte del proveedor subsanar las observaciones formuladas a los casos de uso; por lo que aún no habrá acta de conformidad y se preparará informe de penalidad. 
07/05/2025: Se cambió el nombre del Proyecto "Nueva app BN y Nuevo Home Banking "Multired Virtual" "a  Plataforma de Banca Móvil y Banca por Internet, según lo remitido por Planeamiento.
30/4/2025: Se tuvo reunión con el equipo técnico de TI, equipo de Banca Digital y Gerencia General se respondieron las consultas técnicas  y se quedo a las la espera del pronunciamiento de Banca Digital sobre los precios unitarios.
22/4/2025: Se firmó Carta de Compromiso (Carta N° 018-2025-BN/7901) relacionado a las actividades en curso.
31/03/25: En respuesta a la Carta 009-PCDBN-PERUAPPS-2025 - "Entrega de Informe de Despliegue de la Implementación de la Infraestructura Base en AWS para los ambientes a Implementar (Desarrollo, Certificación y Producción)" se emite el infirme técnico N° 00000005 - 2025-BN/2550 el 05.03.2025 en el cual se remiten observaciones al entregable. 
El contratista remite la Carta 015-PCDBN-PERUAPPS-2025 - "Respuesta a Observaciones al Informe de Implementación Base de la Infraestructura AWS" y se emite el Informe Técnico 00000008 - 2025-BN/2550 el 31.04.2025 (se envió a través de correo) en el cual se solicita al contratista ampliar el sustento técnico y realizar ajustes al informe presentado. Se está a la espera de la respuesta del Contratista para que TI emita un nuevo informe el cual para que el área usuaria pueda solicitar la Adenda. Las actividades de Despliegue del ambiente DEV no se puede iniciar hasta la conformidad del despliegue de la Infraestructura Base AWS.
28/02/25: TI se encuentra participando en reuniones técnicas con el proveedor. Se tuvo reunión con el Contratista el 17/02 en el cual presentaron la "Matriz de Requerimiento – Implementación Infraestructura Base AWS  v1.0" en dicho cuadro se mostró componentes que no están incluidos en los TdR y componentes que si están incluidos en los TdR, sin embargo no se tenía la claridad si se estaba cumpliendo con todo lo indicado en los TdR. El equipo de Arquitectura elaboro una matriz con todos los ítems indicados en los TdR (funcionalidades, características) a fin que el contratista defina con que herramienta y/o componente se cubría lo indicado en los TdR, esto se remitió con la Carta N°003-2025-BN/7901 de fecha 25.02. Se indico al area responsable del contraro que coordine con Logista a cerca de los diferenciales (componentes que se indicaban en la matriz presentada por el contratista y que no están indicado en los TdR.
17/02/25: TI se encuentra participando en reuniones técnicas con el proveedor y en reuniones de trabajo funcional (opcional). El 17.02 El contratista remitió la Matriz de Trazabilidad de Requerimientos correspondiente al despliegue y se agendara reuniones para la revisión. 
31/02/25 El avance Sobre las actividades de Implementación de Infraestructura Cloud (AWS)  43% y Sobre las actividades del Diseño, desarrollo e implementación de la solución 12% En esta ultima actividad me indicaron que han avanzado con la elaboracion de 59 CU de un total de 286</t>
  </si>
  <si>
    <t>PROSPOPEMSS-OE08-25-38</t>
  </si>
  <si>
    <t>Solución del procesamiento de operaciones de pagaduría del Estado MEF-SIAF Y SUNAT</t>
  </si>
  <si>
    <t>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t>
  </si>
  <si>
    <t>Marco Ortiz</t>
  </si>
  <si>
    <t>Acta Nº1-2025</t>
  </si>
  <si>
    <t>Pagaduría</t>
  </si>
  <si>
    <t>Eduardo Cardenas / Elia Muñoz</t>
  </si>
  <si>
    <t>14/04/2026: Al cierre del mes de marzo, con respecto a la etapa de Desarrollo de la Fase I, se encuentra pendiente las guías de despliegue y documentación para el pase a certificación; lo cual ha tenido repercusión en la etapa de certificación de la Fase I. 
23/03/2026: Al cierre de febrero se elaboró el cronograma para la solicitud de cambios con ampliación de plazo, coordinado con Operaciones, TI y el proveedor; la integración de AD e ISIM se realizó satisfactoriamente, y se vienen sosteniendo reuniones con SUNAT para revisar los detalles técnicos de la integración.
20/03/2026: Según el acta de reunión del comité de proyectos del mes de enero, el proyecto presentó un ligero retraso al cierre de diciembre 2025. En enero 2026 se reunió con el proveedor para realizar la integración de la solución Novatronic con el sistema de Gestión de Identidades ISIM, y se espera concluir el análisis de vulnerabilidades en enero 2026. La Gerencia de TI y Operaciones se encuentra revaluando los plazos planificados de la Fase I debido a los retrasos presentados, lo cual repercute en la Fase II del proyecto.
25/02/2026: Con respecto al análisis de Vulnerabilidades en el proceso de validación con el área de Seguridad Informatica se reportó la observación relacionada a la infraestructura, por lo que el área de infraestructura tecnológica se encuentra en subsanación. Asimismo, las referidas actividades han afectado los avances de la fase II,  por lo que la Gerencia líder gestionará la solicitud de cambios, reformulando el cronograma con la finalidad de continuar con el proyecto.
21/01/2026: En la actividad de pruebas en ambiente de desarrollo, el avance pasó de 30% en noviembre a 35% en diciembre, sin progreso significativo, debido a la falta de integración de Novatronic con ISIM; el 07/01/2026 se realizó reunión con el proveedor para atender dicha integración.
La Subgerencia de Contabilidad respondió el 07/01/2026, identificándose que el producto debe registrarse como nuevo canal; la Gerencia de Operaciones presentó el Anexo 2, pendiente de aprobación por la Subgerencia de Construcción de Aplicaciones.
El análisis de vulnerabilidades se encuentra concluido, quedando pendiente la confirmación de Seguridad Informática.
30/11/2025: Al cierre del mes de noviembre, se viene realizando las actividades con un grado de avance mayor a lo planificado respecto al análisis y diseño de archivo de conciliación, actualización de solicitudes Lotes de la Fase I, Asimismo, se ha validado las transacciones de Pagaduría, (cargo, abono, extorno, consultas) en lo correspondiente planificado para el presente mes.
31/10/2025: Según la información enviada de Planeamiento en el mes de Octubre se precisa lo siguiente: Al 31.10.25, con la participación del proveedor Novatronic, MEF y del personal informático del Banco, se continúa ejecutando pruebas integrales en el ambiente de desarrollo, con el propósito de validar las implementaciones realizadas tanto por el Banco como por el proveedor, en el ambiente de certificación se convocará al MEF a fin de realizar pruebas integrales. Asimismo, se viene probando devoluciones y extornos de transferencias enviadas al BCRP. Se actualizó cronograma y se elaboró los documentos para la solicitud de cambios.
30/09/2025: Según la información enviada de Planeamiento en el mes de Septiembre se precisa lo siguiente: Al 30.09.25, con la participación del proveedor Novatronic, MEF y del personal informático del Banco, se continúa ejecutando pruebas integrales en el ambiente de desarrollo, con el propósito de validar las implementaciones realizadas tanto por el Banco como por el proveedor, se estima para el mes de octubre se encuentre en el ambiente de certificación. Se presentaron observaciones en el ciclo de pruebas referido a los lotes procesados del MEF (archivo de transferencias hacia otras entidades financieras vía LBTR), las cuales han sido subsanadas. Asimismo, se viene probando devoluciones y extornos de transferencias enviadas al BCRP. Por consiguiente, se ha extendido el ciclo de pruebas en el ambiente desarrollo lo que afecta las actividades siguientes. Se gestionará la solicitud de cambio, sinceramiento de cronograma proveedor y TI.
16/09/2025: Según la información enviada de Planeamiento en el mes de Agosto se precisa lo siguiente: Al cierre del mes de agosto, con la participación del proveedor Novatronic, MEF y del personal informático del Banco, se vienen ejecutando pruebas integrales en el ambiente de desarrollo, con el propósito de validar las implementaciones realizadas tanto por el Banco como por el proveedor, asegurando que estas no interfieran en la operatividad de los demás servicios y garantizando su adecuada interoperabilidad.
Sin embargo, se evidencia un retraso en la implementación de la fase I, debido a:
1. Demora del MEF con la revisión de los flujos del servicio de integración LBTR-SIAF-BN
2. Coordinaciones con el BCRP a fin de revisar el proceso de conciliación que realizan las entidades.
3. Respuesta de la SUNAT a fin de confirmar su participación en la fase I.
18/08/25: Según la información enviada de Planeamiento en el mes de Julio se precisa lo siguiente: A nivel de tareas presenta un retraso debido a que la Gerencia de TI, no concluye sus pruebas unitarias en la fase de desarrollo, requisito para realizar las pruebas integrales con el usuario, MEF, Novatronic. 
13/08/2025: De acuerdo al Acta de Comité de Proyectos del 16/07 N°06-2025 se informa que:
Se solicita agendar reunión entre la Gerencia de
Operaciones, la Gerencia de Planeamiento y Control de Gestión y, la Gerencia General
para revisar la fecha fin del proyecto la cual es marzo 2026.
18/07/2025: Se está avanzando las actividades del entregable Fase I – MEF y SUNAT:
En relación a las pruebas de desarrollo (Desarrollo Novatronic y Banco), el BN ha desarrollado un ambiente CICS exclusivo para el nuevo sistema de Pagaduría, con la finalidad de que no interfiera con la operatividad de otros servicios (interoperabilidad)
Actividades:
1. EETT archivo de Conciliación del Banco 100%
2. Novatronic y el Banco han realizado las validaciones de conexión con FTP del MEF y resultaron conformes. 100%
Se espera que las pruebas en ambiente de certificación se den en Julio 2025
11/06/2025:Según la información enviada de Planeamiento en el mes de Mayo se precisa lo siguiente:
Nos encontramos en la etapa de Desarrollo y Construcción la fase I del proyecto de Pagaduría: Integración LBTR-SIAF-BCRP.
En relación a las pruebas de desarrollo (Desarrollo Novatronic y Banco), además se ha comprometido la participación del MEF y BCRP, lo que implica pruebas de conectividad para este mes y en el mes de junio se realizarian las  pruebas integrales entre el Banco, MEF y BCRP.
Novatronic se atraso en el desarrollo de sus interfases, para el mes de mayo ha acelerado el desarrollo de sus aplicaciones.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07/05/2025: Según la información remitida por Planeamiento mediante correo: A nivel tareas, actualmente se encuentra en la Etapa de Implementación del Proyecto.
- Se ha culminado la revisión de flujos y esquemas de la fase I (Integración SIAF-BN-LBTR), está pendiente de que TI confirme el desarrollo de la interfaz Host.
- Se ha coordinado con TI (H. Zevallos) la asignación de un recurso adicional (Nestor Acha), que apoye a E. Cárdenas con la implementación de la TXn HOST (cargo, abono, extorno, consulta) requerido por Novatronic para la integración con el SIAF; asimismo la asignación de otro recurso para el proceso de Conciliación.
- Se encuentra en la actividad de habilitación de ambiente y servidores para las pruebas funcionales de la fase I, está pendiente de que Novatronic valide la conectividad (Al mes de Abril ya se concluyo la actividad).
- Pendiente una reunión entre Novatronic y TI del BN a fin de revisar el flujo de la fase II (al mes de abril ya se concluyó la actividad).
08/04/2025: Mediante el Acta de Reuniòn 01-2025 el Comitè de Proyectos aprobò el proyecto.
17/02/25 Revisión del Flujo 1 - MEF LBTR: Se remitio la informacion solictada por Novatronic. Avance: 100% . Análisis y Diseño 50% (Novatronic) Proporcionar las EETT  de Txn del Host BN 50% Generacion de Archivos y Casos de Pruebas MEF/SUNAT - BN (Sunat no cuenta con la infor.) 50%
31/01/25: Aprobado en comité de Ene25. En reuniones
técnicas con el proveedor.
20/05/2024 Mediante correo de Jorge Lavalle se notifica laentrega de la propuesta comercial y los TDRs para su validación,se genera reunion para su revisión el 22-05.
07/05/2024 Mediante correo se hace envìo de los TDRs del proyecto.
30/04/2024 Mediante correo de Antonio Luyo se entrega el documento de las TDr s del proyecto a Martin Nicho, para luego ser remitidas a Jorge Lavalle y Marco Ortiz.
29/04/2024 Mediante correo de Jorge Lavalle se pide la validación de los TDRs del proyecto 
25/04/2024 Por correo de Martin Nicho se pide la asistencia para dar respuesta al usuario sobre los requerimientos del proyecto, se establece un orden de prioridad para la atención de los mismo: Seguridad informática, Arquitectura, Construcción y Producción. Se espera la formalización de la  inscripción del proyecto a la lista de proyectos estratégicos por Jorge Lavalle.
22/04/2024 Con correo remitido por Jorge Lavalle se pone en consideración la priorización de los TDRs, una vez teniendo los TDRs finales finaliza la revisión del contrato e inicia la formalización. Se hace llegar el contrato, propuesta y, esquema general y técnico de solución.</t>
  </si>
  <si>
    <t>PROCDBN-EO05-37</t>
  </si>
  <si>
    <t>Cuenta Digital BN</t>
  </si>
  <si>
    <t>La Cuenta Digital BN cumplirá la misma función y objeto de la Cuenta DNI, la única diferencia será el soporte tecnológico, de esta manera, se tendrá un control y monitoreo efectivo de la plataforma que soportará la Cuenta DNI.</t>
  </si>
  <si>
    <t>Acta N°9-2024</t>
  </si>
  <si>
    <t>Cuenta Digital</t>
  </si>
  <si>
    <t>Johnny Rocca</t>
  </si>
  <si>
    <t>20/03/2026: Según el acta de reunión del comité de proyectos del mes de enero, el proyecto presentó un ligero retraso al cierre de diciembre 2025 debido a que quedó pendiente pasar a producción el tarifario para agentes corresponsales. A inicios de enero 2026 el proyecto pasó a producción y la Gerencia de Banca Digital presentó su Acta de cierre y lecciones aprendidas del proyecto.
25/02/2026: El proyecto Cuenta Digital BN culminó satisfactoriamente, habiéndose ejecutado un piloto controlado en producción y realizado el pase final el 6 de enero de 2026, considerando que el mes de diciembre se encuentra definido como periodo de freezing, durante el cual no se realizan pases a producción.
21/01/2026: El 23 de diciembre se completo la certificación de tarifario para agentes corresponsales, estando listos para pase a producción. En diciembre no hay pases a producción. El 6 de enero paso a producción el mantenimiento de tarifario, sin embargo el canal agentes se probó el 29 diciembre 2025 pasando correctamente la consulta, retiro, deposito sin el tarifario diferenciado para agentes. 
30/11/2025: "El proyecto aún no puede avanzar al siguiente entregable final, porque falta concluir un conjunto de pruebas técnicas en el ambiente de Calidad de TI.
Estas pruebas están relacionadas con el tarifario - agentes, que es un componente necesario para completar la funcionalidad del proyecto.
Mientras estas pruebas no se terminen y validen correctamente:
No se puede cerrar la fase actual, y 
No se puede ejecutar el “piloto controlado producción”, que es la siguiente entregable para validar el servicio con usuarios reales."
31/10/2025: Según la información enviada de Planeamiento en el mes de Octubre se precisa lo siguiente: Nos encontramos en los lineamientos estratégicos para la soliciutd de cambio del proyecto, en coordinación con la Gerencia de Operaciones, Banca Digital y la Subgerencia de Construcción de Aplicaciones.
30/09/2025: Según la información enviada de Planeamiento en el mes de Septiembre se precisa lo siguiente: El avance del proyecto se ha visto afectado por limitaciones en el soporte técnico interno y problemas de conectividad con la Cámara de Compensación, lo que ha dificultado la ejecución oportuna de pruebas críticas. Asimismo, la baja disponibilidad del personal del área de negocio ha generado retrasos en las actividades de validación y aprobación de entregables. Finalmente, la demora en la definición del tarifario de comisiones ha impedido completar la configuración de parámetros y la realización de pruebas integrales, impactando en la planificación general del proyecto y en la coordinación entre los equipos técnicos y funcionales.
16/09/2025: Según la información enviada de Planeamiento en el mes de Agosto se precisa lo siguiente: El mantenimiento del Proceso de Apertura Masiva Batch de Cuentas Digitales BN (Código 2024-M0218) culminó satisfactoriamente su etapa de certificación y se encuentra a la espera de autorización para el pase a producción.
El entregable “Tabla de Control de Calidad” (Código 2024-M0465) ha concluido su implementación y ya se encuentra en producción.
21/08/2025: De acuerdo al Acta de Comité de Proyectos del 14/08 N°07-2025 se informa que:
Se solicita a la Gerencia de Banca Digital realizar un informe situacional del proyecto y formalizar su solicitud de cambio para el próximo Comité Ejecutivo de Proyectos. Además, se solicita añadir el tarifario correspondiente dentro del proyecto. Asimismo, se solicita a la Gerencia de Riesgos y Gerencia de Oficialía de de Cumplimiento Normativo y Conducta de Mercado que evalúen el proyecto dentro de sus competencias.
18/08/25: Según la información enviada de Planeamiento en el mes de Julio se precisa lo siguiente: El proyecto de apertura de Cuentas Digitales BN en Línea (M0098) pasó a producción antes de lo previsto. 
Se avanza en la certificación de la apertura masiva (M0218), con dos tareas pendientes en el host y cierre estimado para el 13/08/2025. 
El proyecto “Tabla de Control de Calidad” (M0465) culminó la certificación y espera pase a producción.
Se establecieron los lineamientos estratégicos para la migración, en coordinación con las Gerencias de Operaciones, Banca Digital y la Subgerencia de Construcción de Aplicaciones.
18/07/2025: En el marco del proyecto de apertura de Cuentas Digitales BN en Línea:  Mantenimiento individual y masivo – Código 2024-M0098, pasó a producción. Asimismo, continúa la ejecución de pruebas de certificación correspondientes al proceso de apertura masiva batch de Cuentas Digitales BN (Código 2024-M0218).En relación con el proyecto “Tabla de Control de Calidad” (Código 2024-M0465), continua en etapa de pruebas dentro del entorno de certificación. Se definieron los lineamientos estratégicos para la migración, en coordinación con la Gerencia de Operaciones, Banca Digital y la Subgerencia de Construcción de Aplicaciones
11/06/2025:Según la información enviada de Planeamiento en el mes de Mayo se precisa lo siguiente:
Realizando pruebas de proceso de apertura masiva Batch de Cuentas Digitales BN (Código 2024-M0218) en el ambiente de certificación.
En relación al entregable “Tabla de Control de Calidad” (Código 2024-M0465), este también se encuentra en pruebas dentro del entorno de certificación.
Se concluyó la definición de estrategia de migración, realizado por la Gerencia de Operaciones, Banca Digital y la Subgerencia de Construcción de Aplicaciones.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07/05/2025: Según la información remitida por Planeamiento mediante correo: A nivel tareas, actualmente se encuentra en la Etapa de Implementación del Proyecto. 
Continúan las pruebas en desarrollo con la participación de los usuario (Secc. Apertura de Cuentas)  y la fabrica de SW del BN, encargada de los desarrollo, para el componente  2024-M0098 - Adecuación proceso de apertura de cta. DNI en Linea (individual y masivo ), actividad que presenta atraso y perjudica el avance de otras actividades (pruebas en canales).
Las pruebas con los canales de atención se encuentra en pausa, hasta que 
Continúan las pruebas en desarrollo con la participación de los usuario (Secc. Apertura de Cuentas)  y la fabrica de SW del BN, encargada de los desarrollo, para el componente 2024-M0218-Apertura masiva batch.
Se viene coordinando las actividades previas para iniciar la pruebas en certificación, como es la carga inicial de los DNI's, para el componente 2024-M0465-Tabla de Control.
03/02/2025 Este proyecto tiene los mantenimientos:
2024-M0098: Adecuación Proceso de Apertura de CTA DNI en Linea (individualy masivo) y funcionamiento en canales de atencion: Se encuentra en pruebas con usuario Ambiente de Desarrollo
2024-M0218: Apertura Masiva batch: Se encuentra en pruebas con usuario Ambiente Desarrollo
2024-M0645: Tabla de Control: El 05/02 Inician las pruebas con usuario Ambiente Desarrollo.
31/01/25: Aprobado en comité de Dic24. Se encuentra en
proceso de Desarrollo.</t>
  </si>
  <si>
    <t>PROASAHEH-EO10-25-41</t>
  </si>
  <si>
    <t>Adquisición del Sistema de Almacenamiento y Eq. Brocade (High-End Hitachi)</t>
  </si>
  <si>
    <t>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t>
  </si>
  <si>
    <t>Acta Nº3-2025</t>
  </si>
  <si>
    <t>Hitachi</t>
  </si>
  <si>
    <t>IMPLEMENTADO
30/09/2025: Según la información enviada de Planeamiento en el mes de Septiembre se precisa lo siguiente: Al cierre de setiembre, el proveedor cumplió la totalidad de las actividades programadas conforme al cronograma establecido. De acuerdo con esto, se da por culminado el proyecto.
16/09/2025: Según la información enviada de Planeamiento en el mes de Agosto se precisa lo siguiente: Al cierre del mes de agosto, el proveedor culminó con las actividades de la etapa de implementación del proyecto de acuerdo con el cronograma planificado. Asimismo, se ha iniciado la elaboración del informe de cierre del proyecto y la recopilación de las lecciones aprendidas.
21/08/2025: De acuerdo al Acta de Comité de Proyectos del 14/08 N°07-2025 se informa que:
Se aprueba la solicitud de cambio en el monto de la prestación principal del proyecto.
18/08/25: Según la información enviada de Planeamiento en el mes de Julio se precisa lo siguiente: Al cierre del mes de Julio, el proveedor concluyó con la instalación de los equipos en la Sede de Chiclayo. Actualmente, se encuentran en ejecución las actividades de Puesta en funcionamiento (Configuración y Migración) de los equipos.
18/07/2025: A nivel tareas al 30.06.25, el Equipo Técnico del proyecto informó que el proveedor está cumpliendo con las actividades programadas según el cronograma establecido. Asimismo, el proveedor culminó con la entrega de los bienes en las 03 sedes y finalizo la instalación de los equipos en las sedes de San Isidro y San Borja. En Chiclayo, la instalación se realiza de forma anticipada al plan previsto.
16/06/2025: Se registró en el Backlog. Proyecto aprobado en Comité Ejecutivo de Proyectos, mediante acta N°3 del 19/03/2025.
11/06/2025:Según la información enviada de Planeamiento en el mes de Mayo se precisa lo siguiente:
Se encuentra en la fase de implementación, el equipo técnico del proyecto informó que el proveedor está cumpliendo con las actividades programadas según el cronograma establecido. Cabe indicar que el proveedor culminó anticipadamente con la entrega de los bienes en la sede de San isidro y Chiclayo.
03/06/2025: Según la información enviada de Planeamiento mediante correo respecto al proyecto en el mes de abril se tiene que: Se encuentra en la fase de implementación, el equipo técnico del proyecto informó que, el proveedor está cumpliendo según el cronograma con la entrega de bienes en las 3 sedes (San Isidro, San Borja, Chiclayo).
08/04/25: Mediante Acta de Reunión 03 - 2025 el Comité de Proyectos aprobó el proyecto y se solicita que remitan su análisis de costo beneficio y su plan de trabajo detallado para su seguimiento y respectiva planificación.</t>
  </si>
  <si>
    <t>PROMSFBN-EO12-25-39</t>
  </si>
  <si>
    <t>Mejoramiento de los servicios financieros del BN a nivel Nacional (BID)</t>
  </si>
  <si>
    <t>El proyecto considera tres componentes. El Componente 1 se centra en el mejoramiento de la capacidad institucional mediante la implementación de estrategias y metodologías que forman parte de la capacidad organizacional. Por ejemplo, el diseño e implementación de una estrategia de transformación digital, la creación de un sistema de gestión del cambio, y el desarrollo de metodologías para productos financieros digitales son acciones que, aunque implican la utilización de tecnología, están orientadas a la estructuración y optimización de procesos internos y al fortalecimiento del capital humano, aspectos que son inherentemente intangibles.</t>
  </si>
  <si>
    <t>Unidad Implementadora BN/BID</t>
  </si>
  <si>
    <t>Eduardo Ibarra</t>
  </si>
  <si>
    <t>BID</t>
  </si>
  <si>
    <t>14/04/2026: En el mes de marzo, COMPONENTE 1: se postergó la implementación de “Uso de canales de comunicación digital” y “Gestión del cambio” para 2027 en coordinación con el BID, impactando el avance por repriorización y demora en contratación; no obstante, se superó lo planificado en gestión documental digital (cero papel) y se culminaron TDR clave. COMPONENTE 2: se presentaron demoras por la alta complejidad en la selección de especialistas del Core Bancario, afectando TDR y arquitectura; además, se cambió la modalidad de contratación a Licitación Pública Internacional (LPI). COMPONENTE 3: ampliaciones de plazo y observaciones de proveedores retrasaron contrataciones (AntiBots, Seguridad SDLC y Nube); sin embargo, se lograron avances superiores a lo planificado en TDR de ciberseguridad (SOC y gestión de riesgos), cumpliendo el 10% programado.
23/03/2026: Para el cierre de febrero, durante la ejecución se identificaron problemas clave: desalineación entre los procedimientos del BID y los del Banco de la Nación, junto con limitado conocimiento normativo; restricciones de acceso de consultores a sistemas y herramientas, afectando su desempeño; y demoras en la contratación de especialistas para el Core Bancario debido a su alta especialización y escasa disponibilidad en el mercado.
20/01/2026: Según el acta de reunión del comité de proyectos del mes de enero, la Unidad Implementadora BN/BID viene elaborando el cronograma detallado del proyecto, el cual será presentado en enero 2026 al Directorio para un mejor seguimiento. La gerencia responsable debe presentar dicho cronograma detallado al Directorio y un cronograma de mitad de año que permita realizar el seguimiento y monitoreo de las actividades realizadas.
25/02/2026: La gerencia líder remitió a planeamiento el cronograma del proyecto correspondiente al componente al 1,2 y 3.
21/01/2026: 1.Plan de Corto Plazo: Elaboración y aprobación del Plan de Corto Plazo (100%).
2.Plan de Ejecución del Proyecto BN/BID: Elaboración y aprobación del Plan del Proyecto (100%).
3.Manual de Procedimiento – Gestión de Compras UIP (Flujo 3 – Gestión de Pago): Elaboración de la MAPRO, piloto y aprobación del Flujo 3 (100%).
4.Contratación de especialistas y analistas (grupo 2): TDR, formalización de requerimiento, proceso de contratación, no objeción del BID y suscripción de contrato (100%).
5.Designación de representantes de áreas usuarias: Solicitud a áreas usuarias (100%) y designación de representantes (80%).
6.Asignación de chequera para pagos a consultores (UIP): Solicitud a TI (100%) y entrega de chequera a la UIP (50%).
7.Contratación de Analistas Técnicos del Proyecto BN/BID: Elaboración de Términos de Referencia (100%).
30/09/2025: Según la información enviada de Planeamiento en el mes de Septiembre se precisa lo siguiente: Se realizó el “Taller de Arranque” y el “Evento Protocolar de Inicio del Proyecto".
Se cumplieron con todas las condiciones previas para solicitar el 1er. Desembolso del BID.
Se contrataron a los 4 Coordinadores de la Unidad Implementadora.
Se aprobó en Sesión de Directorio N° 2578 de fecha 19.09.2025 el “Manual Operativo del Proyecto”.
16/09/2025:Según la información enviada de Planeamiento en el mes de Agosto se precisa lo siguiente: Durante el mes de agosto 2025 se realizaron las actividades siguientes:
Se contrato al Coordinador General. 
Se revisaron con el BID el “Manual Operativo del Proyecto” y el “Informe de Sistema de información financiera y estructura de control interno”.  
Se publicó la convocatoria para la contratación de los 4 Coordinadores de la Unidad Implementadora
Se inicio las coordinaciones con el BID para el desarrollo del “Taller de Arranque” y el “Evento Protocolar de Inicio del Proyecto”.
21/08/2025: De acuerdo al Acta de Comité de Proyectos del 14/08 N°07-2025 se informa que:
Se solicita que, a través de la Gerencia de Planeamiento y Control de Gestión, el Coordinador General del proyecto realice una presentación del proyecto en el próximo Comité de Gerentes. También se solicita proponer la estrategia de comunicación y gestión de cambios respecto al proyecto. Además, se reitera que todos los nuevos proyectos que se incorporan al Portafolio de Proyectos deben presentar los siguientes documentos: Ficha de Iniciativa, Caso de Negocio y Acta de Constitución visada, firada y alinada entre sí.
18/08/25: Según la información enviada de Planeamiento en el mes de Julio se precisa lo siguiente: Inicio del proceso de contratación de los 4 Coordinadores de la Unidad Implementadora.
18/07/2025: Durante el mes de junio 2025 se realizaron las actividades siguientes:
En relación al BN: Respuesta de FONAFE sobre contratación a plazo determinado del Coordinador General. Se definió que la contratación de los 5 coordinadores será mediante contratación directa con cumplimiento de perfil bajo la modalidad de plazo fijo. Se elaboró la propuesta de Presupuesto correspondiente a los años 2025 y 2026. Ministerio de Economía y Finanzas – MEF:
Firma y Remisión del Convenio de Traslado de Recursos con el MEF. Se realizó el Primer pago al MEF por Comisión del Préstamo BID. Firma y remisión al MEF de la Carta Mandato Irrevocable de Débito Automático en mérito a la operación de endeudamiento con el BID. 
Banco Interamericano de Desarrollo - BID : Envío al BID del Proyecto de Manual Operativo del Proyecto para su revisión y comentarios. Se envió solicitud de apoyo al BID - Cooperación Técnica PE-T1597 (Apoyando la Transformación Digital y Sostenible del BN)
11/06/2025:Según la información enviada de Planeamiento en el mes de Mayo se precisa lo siguiente:
El 05 de mayo del presente en la Sesión de Directorio N° 2558 se aprobó la creación de la Unidad Orgánica Temporal denominada Unidad Implementadora Proyecto BN/BID, encargada de la ejecución física y financiera del Proyecto “Mejoramiento de los servicios financieros del Banco de la Nación a nivel nacional”.
Se ha sociabilizado a las Gerencias de Finanzas y Tesorería y Legal el proyecto de Manual Operativo, para sus observaciones y/o consultas.
Se tiene la conformidad del proyecto de Convenio de Traspaso de Recursos por parte del MEF y del BN. Se estima que la Resolución Suprema del MEF se publique en la 1ra. Semana de junio.
03/06/2025: Según la información enviada de Planeamiento mediante correo respecto al proyecto en el mes de abril se tiene que: Se reviso con Recursos Humanos y el BID la propuesta de los 5 perfiles de la Unidad Implementadora. Se realizó el proyecto de Manual Operativo.
07/05/2025: Mediante la información remitida por Planeamiento mediante correo: El Proyecto aún no inicia.
08/04/25: Mediante Acta de Reunión 01 - 2025 el Comité de Proyectos aprobó el proyecto.</t>
  </si>
  <si>
    <t>PROBEFC-EO06-25-40</t>
  </si>
  <si>
    <t>Banca Empresarial - Fase IV</t>
  </si>
  <si>
    <t>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t>
  </si>
  <si>
    <t>Banca Empresarial</t>
  </si>
  <si>
    <t>Eduardo Cardenas</t>
  </si>
  <si>
    <t>CERRADO
04/11/2025: Según el acta de reunión N°08-2025 la Gerencia de Operaciones solicitó el cierre del proyecto debido a que previo a este proyecto se ha definido la necesidad de reforzar el sistema de Banca Empresarial del Banco de la Nación. 
30/10/2025: Según la información enviada de Planeamiento en el mes de Octubre se precisa lo siguiente: "Al cierre del mes de octubre, Debido a los fraudes de ingenieria social presentados en la plataforma Banca Empresarial (fraudes externos), la Gerencia de Operaciones ha visto necesario, priorizar el fortalecimiento del proceso de afiliación de los firmantes y de su operatividad en los servicios dispuestos: Transferencias internas, interbancarias, abonos masivos y devolución al Tesoro. Por lo que,el alcance del presente proyecto se acotará a la Etapa 01, en consecuencia la etapa 02 se requerirá su implementación bajo la demanda táctica. Acción que origina se proceda con la actividad de cierre del proyecto.
Se elaboró los documentos para la presentación del cierre del proyecto ante el comité de proyectos."
30/09/2025: Según la información enviada de Planeamiento en el mes de Septiembre se precisa lo siguiente: Al cierre del mes de setiembre, debido a las incidencias presentadas en la plataforma de Banca Empresarial, la Gerencia de Operaciones en coordinación con TI y Riesgos  ha priorizado el fortalecimiento de afiliación de firmantes y operatividad de los servicios dispuestos: Transferencias internas, interbancarias, abonos masivos y devolución  tesoro. Por lo que,el alcance del presente proyecto se acotará hasta la la Etapa 01. En consecuencia, la etapa 02 del proyecto se implementaría bajo la demanda táctica.
16/09/2025: Según la información enviada de Planeamiento en el mes de Agosto se precisa lo siguiente: Al cierre del mes de agosto, viene ejecutándose según lo planificado. Asimismo se certificó el entregable correspondiente a la primera etapa del servicio de Pago de Haberes en otras entidades financieras, encontrándose a la fecha en Producción.
13/08/2025: De acuerdo al Acta de Comité de Proyectos del 16/07 N°06-2025 se informa que:
Se solicita a la Gerencia TI responder a la Gerencia de Operaciones con referencia a la prioriz ación
de implementación del proyecto.
18/08/25: Según la información enviada de Planeamiento en el mes de Julio se precisa lo siguiente: Al cierre del mes de julio, se encuentra en un porcentaje mayor a lo planificado, resaltando la culminación del desarrollo de la construcción Host y modificaciones de los programas para el servicio de Pago de haberes en otras instituciones financieras.
Se viene realizando la revisión de documentos en el entorno de Calidad y el respectivo Diseño de Pruebas.
18/07/2025: A nivel tareas, se concluyó con el análisis técnico del servicio pago de Haberes en Otras entidades Financieras.
Mediante documento N° 0091-2025 BN - 3100, la Gerencia de Operaciones solicitó al área de Gestión de Demanda y Proyectos de la Gerencia de Tecnología de información, la priorización de implementación de la fase IV de la plataforma Banca Empresarial.
Se culminó el desarrollo de la construcción Host y modificaciones de los programas CICS-Told respectivos, para el servicio de Pago de haberes en otras EEFF. 
03/06/2025: Según la información enviada de Planeamiento mediante correo respecto al proyecto en el mes de abril se tiene que: A pesar de los correos enviados por el analista asigando y el subgerente de planeamiento, aún no se han presentado el cronograma ni la evaluación costo-beneficio.  La justificación es que están coordinando con el área de TI, la cual tiene sus propios plazos para atender y desarrollar esas actividades.
21/05/2025: Según el Acta de Reunión N°04-2025 del Comité de Proyectos, se llevará una reunión entre la Gerencia General, Gerencia de Operaciones y la Gerencia de TI para determinar los cambios que tendrá dicho proyecto.
08/04/25: Mediante Acta de Reunión 03 - 2025 el Comité de Proyectos aprobó el proyecto y se solicita que remitan su análisis de costo beneficio y su plan de trabajo detallado para su seguimiento y respectiva planificación.</t>
  </si>
  <si>
    <t>Factoring BN para MYPEs proveedoras del Estado</t>
  </si>
  <si>
    <t>El proyecto contempla la compra de bienes, instalación y puesta de funcionamiento de una solución de sistema de almacenamiento high end y director brocade implementada en los tres centros de datos del Banco de la Nación, esta nueva solución cuenta con mejores prestaciones tecnológicas de capacidad y perfomance, así como una mejor arquitectura de disponibilidad.</t>
  </si>
  <si>
    <t>Maria Almengor</t>
  </si>
  <si>
    <t>Acta Nº5-2025</t>
  </si>
  <si>
    <t>Factoring</t>
  </si>
  <si>
    <t>01. No Iniciado</t>
  </si>
  <si>
    <t>21/08/2025: De acuerdo al Acta de Comité de Proyectos del 14/08 N°07-2025 se informa que:
Hay documentos por regularizar como el Informe de Finanzas - Viabilidad financiera y la elevación al Directorio para aprobación del producto, se ha determinado que el proyecto sea considerado como iniciativa por aprobar el Comité ejecutivo de Proyectos hasta que cumpla con los documentos antes mencionados. Ante ello, cuando la iniciativa se consolide y tenga la conformidad de todas las áreas participantes, es la Gerencia de Productos e Inclusión Financiera quien debe remitir la Ficha de Iniciativa a la Gerencia de Planeamiento y Control de Gestión, para su posterior sustentación en el Comité Ejecutivo de Proyectos. Además, se reitera que todos los nuevos proyectos que se incorporan al Portafolio de Proyectos deben presentar los siguientes documentos: Ficha de Iniciativa, Caso de Negocio y Acta de Constitución visada, firada y alinada entre sí.
18/08/25: Según la información enviada de Planeamiento en el mes de Julio se precisa lo siguiente: Entregó su Acta de Constitución. Sin embargo, la gerencia líder se encuentra coordinando con áreas como riesgos, finanzas y legal.
13/08/2025: De acuerdo al Acta de Comité de Proyectos del 16/07 N°06-2025 se informa que:
Se solicita a la Gerencia de Productos e Inclusión Financiera remitir a la Gerencia de Planeamiento y
Control de Gestión el cronograma detallado y el Acta de Constitución del proyecto.
16/06/2025: El proyecto ha sido aprobado en el Comité del 10/06/2025.</t>
  </si>
  <si>
    <t>PROEDDO-EO07-25-42</t>
  </si>
  <si>
    <t>Aplicativo de Evaluación de Desempeño por Objetivos - EDDO</t>
  </si>
  <si>
    <t>El proyecto busca la implementación de un aplicativo que permita el registro, seguimiento y medición de objetivos de desempeño y metas del personal del Banco de la Nación, alineado al Modelo de Gestión Humana del corporativo FONAFE; el contar con esta herramienta brindará una solución dinámica para la gestión de objetivos de los trabajadores del banco, así mismo, permitirá optimizar los tiempos de gestión del proceso, el cual actualmente se ejecuta de manera manual.</t>
  </si>
  <si>
    <t>Jenny Talavera</t>
  </si>
  <si>
    <t>Acta Nº7-2025</t>
  </si>
  <si>
    <t>EDDO</t>
  </si>
  <si>
    <t>23/03/2026: De acuerdo al Comité de Proyectos según Acta N° 03-2026 de fecha 03 de marzo de 2026, el proyecto se retira del Portafolio de proyectos debido a que no se encuentra dentro de la lista de primera prioridad de la Gerencia de Recursos Humanos. Sin embargo, las actividades correspondientes a este aplicativo seguirán trabajándose con la Gerencia de Tecnologías de Información como demanda táctica.
20/03/2026: Según el acta de reunión del comité de proyectos del mes de enero, la Gerencia de Recursos Humanos viene trabajando en la definición de los objetivos de cada una de las gerencias usuarias del proyecto. Se encuentra pendiente contar con recursos de la Gerencia de TI para dar inicio a las actividades planificadas. La gerencia responsable debe presentar el cronograma detallado actualizado y validado del proyecto.
25/02/2026: El proyecto EDDO continúa en fase de desarrollo. Se realizó una reunión de coordinación con TI y el área usuaria, acordándose ajustes de cronograma y alcance, el fortalecimiento del proceso de pruebas y el establecimiento de reuniones diarias de seguimiento. Finalmente, se adjuntan evidencias de las actividades ejecutadas como sustento del avance del proyecto.
21/01/2026: El proyecto EDDO continúa en fase de desarrollo conforme a lo planificado. La Gerencia de TI avanzó con el segundo tramo de entregables, realizando reuniones de coordinación en diciembre de 2025 para alinear criterios funcionales y técnicos y definir ajustes a la solución.
Como resultado, se acordó incorporar progresivamente la descripción de funcionalidades durante las pruebas, validar vinculaciones entre periodos y etapas, revisar la depuración de oficinas inactivas con Planeamiento, y definir opciones de búsqueda y validaciones específicas del sistema. El área usuaria mantiene las pruebas incrementales y se cuenta con evidencias del trabajo realizado.
30/09/2025: Según la información enviada de Planeamiento en el mes de Septiembre se precisa lo siguiente: El proyecto “Aplicativo de Evaluación de Desempeño por Objetivos (EDDO)” . Desde su aprobación el 21 de agosto de 2025, se han cumplido los pasos formales requeridos, incluyendo la remisión de los documentos técnicos (FI, CN, AC) y el envío del Anexo 01 a la Gerencia de TI. A la fecha (13 de octubre de 2025), el proyecto se encuentra en proceso de confirmación del cronograma de atención con la Oficina de Proyectos y Procesos de TI, lo que evidencia un avance sostenido hacia la planificación del desarrollo del aplicativo. 
16/09/2025: Según la información enviada de Planeamiento en el mes de Agosto se precisa lo siguiente: El 14.08.2025 se aprobó en el Comité ejecutivo de proyectos. Luego de ello, la gerencia de recursos humanos remitió a la gerencia de planeamiento y control de gestión los documentos siguientes: Ficha de iniciativa, caso de negocio y Acta de constitución.
La gerencia de planeamiento y control de gestión comunicó a la gerencia de TI que el proyecto fue aprobado.
21/08/2025: De acuerdo al Acta de Comité de Proyectos del 14/08 N°07-2025 se informa que:
Toda iniciativa aprobada pasa a calificarse como Anteproyecto. Teniendo en cuenta lo mencionado y recibida la documentación correspondiente al proyecto se aprueba el anteproyecto pasando a calificarse ahora como proyecto. Además, se reitera que todos los nuevos proyectos que se incorporan al Portafolio de Proyectos deben presentar los siguientes documentos: Ficha de Iniciativa, Caso de Negocio y Acta de Constitución visada, firada y alinada entre sí.
13/08/2025: De acuerdo al Acta de Comité de Proyectos del 16/07 N°06-2025 se informa que: Se da por aprobada la iniciativa. La Gerencia de Recursos Humanos y Cultura debe remitir su Caso de Negocio para ser sustentado en el próximo Comité Ejecutivo de Proyectos.</t>
  </si>
  <si>
    <t>Cero Papel</t>
  </si>
  <si>
    <t>Cero papel</t>
  </si>
  <si>
    <t>21/08/2025: De acuerdo al Acta de Comité de Proyectos del 14/08 N°07-2025 se informa que: La Gerencia de Planeamiento y Control de Gestión sustente en el próximo Comité Ejecutivo de Proyectos para su aprobación respectiva. Además, se reitera que todos los nuevos proyectos que se incorporan al Portafolio de Proyectos deben presentar los siguientes documentos: Ficha de Iniciativa, Caso de Negocio y Acta de Constitución visada, firada y alinada entre sí.</t>
  </si>
  <si>
    <t>TOTAL:</t>
  </si>
  <si>
    <t>SEGUIMIENTO DE LA DEMANDA ESTRATÉGICA</t>
  </si>
  <si>
    <t>OK</t>
  </si>
  <si>
    <t>PENDIENTE</t>
  </si>
  <si>
    <t>ID</t>
  </si>
  <si>
    <t>ID Trámite</t>
  </si>
  <si>
    <t>ID Dependencia</t>
  </si>
  <si>
    <t>ID Proyecto / Mantenimiento asociado</t>
  </si>
  <si>
    <t>Tipo de Requerimiento</t>
  </si>
  <si>
    <t>Gestor  de Planeamiento</t>
  </si>
  <si>
    <t>Fecha de Solicitud a TI</t>
  </si>
  <si>
    <t>Memorando STD</t>
  </si>
  <si>
    <t>Canal de Atención</t>
  </si>
  <si>
    <t>Producto</t>
  </si>
  <si>
    <t>Servicio</t>
  </si>
  <si>
    <t>Categoría</t>
  </si>
  <si>
    <t>Entidad reguladora / Organo de Control</t>
  </si>
  <si>
    <t>N° Norma / N° Informe</t>
  </si>
  <si>
    <t>N° recomendación</t>
  </si>
  <si>
    <t>Fecha de Aprobación en Comité</t>
  </si>
  <si>
    <t>Gestor TI</t>
  </si>
  <si>
    <t>Aplicativo</t>
  </si>
  <si>
    <t>Área Responsable TI</t>
  </si>
  <si>
    <t>Entidad / Proveedor Asignado</t>
  </si>
  <si>
    <t>Analista asignado</t>
  </si>
  <si>
    <t>Motivo según estado</t>
  </si>
  <si>
    <t>Fecha registro trámite</t>
  </si>
  <si>
    <t>Fecha Inicio- Plan</t>
  </si>
  <si>
    <t>Fecha Fin- Plan</t>
  </si>
  <si>
    <t>Fecha Fin Ral 
(CQ)</t>
  </si>
  <si>
    <t>Días faltantes</t>
  </si>
  <si>
    <t>ALERTA</t>
  </si>
  <si>
    <t>Fecha Fin TI Propuesta</t>
  </si>
  <si>
    <t>Fecha Fin TI (Trimestre)</t>
  </si>
  <si>
    <t>Últ. Estado CQ 14.05</t>
  </si>
  <si>
    <t>Estado TI</t>
  </si>
  <si>
    <t>Estado Proyecto TI</t>
  </si>
  <si>
    <t>Seguimiento OPP</t>
  </si>
  <si>
    <t>Proyecto</t>
  </si>
  <si>
    <t>Regularizado - Demanda Histórica 2023</t>
  </si>
  <si>
    <t>Todos los canales</t>
  </si>
  <si>
    <t>Recomendación</t>
  </si>
  <si>
    <t>SBS</t>
  </si>
  <si>
    <t>106-VIG/2019-DSBE
07-2022-DSBE
06-2023-DSBE
13-2021-DSBE</t>
  </si>
  <si>
    <t>Rec. 7b
Rec. 10.c
Rec. 14d</t>
  </si>
  <si>
    <t xml:space="preserve">Lizzet Sanchez </t>
  </si>
  <si>
    <t>SENT - Proyecto Sentinel</t>
  </si>
  <si>
    <t>Sistemas Bancarios</t>
  </si>
  <si>
    <t>Smartsoft</t>
  </si>
  <si>
    <t>Jorge Enrique Ruiz Torres</t>
  </si>
  <si>
    <t>2026-I</t>
  </si>
  <si>
    <t>03. En Desarrollo</t>
  </si>
  <si>
    <t>14/01/2026: El estado es el sgte:
Entregable 7 (fase 1): Certificado en 12/2024.
Entregable 7 (fase 2): A espera que el proveedor confirme inicio de pruebas en Calidad. Oplaft remitirá solicitud de enmascaramiento de data de prueba traida de Producción.
Entregable 9: A espera que el Proveedor brinde disponibilidad para realizar las pruebas técnicas de integración en el mes de enero, para luego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En coordinación con el proveedor, se están llevando a cabo reuniones para actualizar el cronograma del Proyecto.
15/12/2025: El estado es el sgte:
Entregable 7 (fase 1): Certificado en 12/2024.
Entregable 7 (fase 2): A espera que el proveedor confirme inicio de pruebas en Calidad.
Entregable 9: Se están realizando nuevas pruebas técnicas de integración, para continuar con las pruebas de usuario.
Entregable 10: Paso a producción el 28/11, se hicieron ajustes de configuración hasta el 10/12 informando su puesta en producción.
Entregable 12: Certificado en 12/2024. 
Existen vulnerabilidades pendientes, respecto al cual el proveedor a remitido su compromiso (correo) para ser subsanado en May26. Existe un plan a alto nivel propuesto por el Proveedor, sobre el cual se están ejecutando las actividades.
05/09/2025: El estado es el sgte:
Entregable 7 (fase 1): Certificado el 12/2024.
Entregable 7 (fase 2): En adecuaciones de las transacciones faltantes, compromiso 15-Oct-25.
Entregable 9: Pruebas técnicas culminaron, se está actualizando el mapeo técnico/funcional, el Proveedor está actualizando la versión de Sentinel en desarrollo (15 días).
Entregable 10: Certificado el 06/2025
Entregable 12: Certificado 12/2024. 
BN ejecutó en Jul-25 un nuevo de análisis de vulnerabilidad en certificación, donde se evidencia que las vulnerabilidades permanecen. Pendiente reunión para revisar los resultados de las pruebas de rendimiento que efectuó el proveedor. En reunión con los usuarios de Riesgos, Oplaft y Fraudes se estableció hitos de pase a producción: Entregable 10 y 12 (Dic2025), Entregable 7 y Entregable 9 (Mar2026).
Está pendiente que el usuario gestione la ampliación de plazo e informar a Planeamiento.
25/07/2025: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 acuerdo a lo solicitado por el proveedor.; Entregable 10: Certificado el 06/2025; Entregable 12: Certificado 12/2024. BN ejecutó un nuevo de analisis de vulnerabilidad en el ambiente de certificación la semana del 14 al 18/07 donde se evidencia que las vulnerabilidades permanecen, se remitirá informe al Proveedor reiterando se subsanen las vulnerabilidades, como tambien se subsane las observaciones de las pruebas de rendimiento; antes de un pase a Producción.
11/06/2025:Según la información enviada de 
17/07/2025: Entregable 7 (fase 1): Certificado el  12/2024; Entregable 7 (fase 2): Se culmino con la generación y entrega de data de 6 meses. A la espera que el proveedor complete el despliegue en calidad y confirme el inicio de las pruebas;
Entregable 9: Se están realizando nuevas pruebas técnicas en los canales del alcance, de acuerdo a lo solicitado por el proveedor.; Entregable 10: Certificado 06/2025; Entregable 12: Certificado 12/2024; Pendiente que el proveedor resuelva las observaciones de vulnerabilidades y pruebas de rendimiento, antes de un pase a Producción.
11/06/2025:Según la información enviada de Planeamiento en el mes de Mayo se precisa lo siguiente:
Entregable 7 Fase 2 Ambiente de Desarrollo continúan las pruebas de perfiles ,funcionales y la validación de Calidad de datos de los archivos de 5 días, en paralelo se están generando desde 2/5 los archivos de 6 meses con los programas extractores v2 .
Entregable 9 se culmino la integración de datos desde los canales en el ambiente Desarrollo. Entregable 10 se culmino las pruebas en el ambiente de Certificación esta en proceso la firma de los IRPF y RC .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07/05/2025: Según la información remitida por Planeamiento mediante correo: Se esta desplegando la nueva versión de Sentinel Core y Predictions que resuelve issues identificadas durante las pruebas hasta dic 2024.
Entregable 7  La revisión de Calidad de datos no se esta cumpliendo en fecha debido a la que la  información aun sigue siendo corregida por parte de TI-BN , existe una alta dependencia de un solo especialista para el análisis y construcción de los programas extractores . 
Entregable 9 Hay retraso en el inicio de  las pruebas funcionales en el ambiente de desarrollo debido a las actividades previas por parte de TI-BN y Smartsoft. 
Entregable 10 Aún están pendientes de firma las RC , ya que dependen de los IRPF, tanto de Producto como Funcional, los cuales no han sido remitidos con las firmas correspondientes por parte de Smartsoft. Una vez que Smartsoft entregue los IRPF debidamente visados, los usuarios y el equipo de TI - BN procederán con el visado final para su cierre.
31/12/2024: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23/05/2024 Mediante Comité Estratégico de proyectos de fecha 06.05.24 se informa la aprobación de control de cambios del proyecto 
08/04/24 Se ha cambiado la fecha de inicio de proyecto de 2023 a 2021
20/03/24 TI compartirá con Planeamiento el nuevo plan actualizado para que se gestione el control de cambios con el Líder del Proyecto.
03/06/2025: Según la información enviada de Planeamiento mediante correo respecto al proyecto en el mes de abril se tiene que: Se encuentra en actualización el Cronograma entre el BN y SS  el cual generara la versión 3. Se desplego la versión 7.12.1 de Sentinel Core y Predictions en el ambiente de desarrollo.
08/05/25: A espera de actas visadas por el área usuaria del Entregable 10 para su certificación. Se ejecuto las pruebas de rendimiento, pero con observaciones remitidos al Proveedor y BNDesa. Respecto al Entregable 7, se encuentra en proceso de despliegue de la nueva version Sentinel Core y Reporter en el ambiente de Calidad para iniciar las pruebas del Entregable 7 (fase2).
04/04/25: Del Entregable 10 se concluyeron con las pruebas funcionales. A la espera de actas visadas por el área usuaria y el proveedor para su certificación. Se está culminando las pruebas de rendimiento y está en proceso de elaboración del informe. Respecto al Entregable 9 se inició con las pruebas del producto y perfiles el 25/03 en Desarrollo. Se espera iniciar las pruebas funcionales la 2da semana de abril luego de que el proveedor culmine con la configuración de reglas de los canales. Respecto al Entregable 7 (fase 2), queda pendiente culminar solo las pruebas de calidad de datos en coordinación diaria con construcción, usuario y proveedor.
21/03/25: Mediante correo del 21/03/25 de Planeamiento se indica:
Entregable 7: 86% 
Entregable 9: 72% 
Entregable 10: 81%
Entregable 12: 93% 
03/03/25: Se concluyeron con las pruebas funcionales del entregable 10 (en firma de actas) y se iniciarán con las pruebas de rendimiento. Respecto al entregable 9, se estima iniciar el 05/03 las pruebas funcionales en Desarrollo (previa confirmación del proveedor). Respecto al entregable 7 (fase 2), continuan las pruebas de calidad de datos en coordinación diaria con construcción, usuario y proveedor, ademas se culminaron con lsa pruebas del producto (en firma de actas por parte del proveedor y usuarios), perfiles (en elaboración de actas,  pruebas funcionales (avanzando en coordinaciones entre el usuario y proveedor).
31/01/25: Se inició las pruebas del entregable 10 en Calidad. Se continuan con las pruebas del entregable 7 (fase 2) con demora por parte del proveedor en resolver las observaciones; tambien se están realizando pruebas de integración del entregable 9.
31/12/24: A nivel entregables se encuentran en ejecución 4 entregables. 
OPLAFT 
El entregable 7 se encuentra a un 86 %. Se culmino la certificación de la Fase 1   (Productos y Perfiles).
Fraudes
El entregable 9 se encuentra a un  70 %.  Se definió el tema de las pruebas RT y NRT .
El entregable 10 se encuentra a un 65 %.
El entregable 12 se encuentra a un 92 % Se culmino la certificación.
24/10/24 El proyecto se encuentra en proceso de implementación, en base a una estrategia definida para sacar el proyecto en el presente año 2024 con el proyecto 7 y 12.
26/09/2023: En coordinación con Construcción se creó el ID de Proyecto, para almanenar toda la informacion referente al proyecto de forma integral en todas sus etapas de integración.</t>
  </si>
  <si>
    <t>2024-T0458</t>
  </si>
  <si>
    <t>2024-M0398</t>
  </si>
  <si>
    <t>Proyecto-Hijo</t>
  </si>
  <si>
    <t>Integración Lavado de Activos con Sentinel - FASE 1 (Producto: Sentinel Core y Reporter + Perfiles) - Entregable7</t>
  </si>
  <si>
    <t>Generar archivos extractores de acuerdo a los mapeos técnicos / funcionales aprobados, el mismo que servirá para que Sentinel tome los archivos y realice su análisis, a fin de Integrar la información de todos los canales agrupados por Transacciones (en línea, emulación), Catálogos, Productos y Clientes.</t>
  </si>
  <si>
    <t>Oficialía de PLAFT</t>
  </si>
  <si>
    <t>Miguel Flores</t>
  </si>
  <si>
    <t>Favio Chichizola</t>
  </si>
  <si>
    <t>Correo s/n</t>
  </si>
  <si>
    <t>106-VIG/2019-DSBE
07-2022-DSBE
13-2021-DSBE</t>
  </si>
  <si>
    <t>Rec. 7b
Rec. 11a
Rec. 11b
Rec. 11c
Rec. 8.1</t>
  </si>
  <si>
    <t>No aplica</t>
  </si>
  <si>
    <t>Lizzet Sanchez</t>
  </si>
  <si>
    <t>Certificado</t>
  </si>
  <si>
    <t>5/12/2024: Según CQ, se actualizó el estado de 03. En Desarrollo a 05. En Calidad
13/12/2023: COMITÉ DEMANDA REGULARIZACIÓN: Se regulariza su registro según lo aprobado en comité
29/09/2023: Se observa retraso en las actividades por obervaciones encontradas en lo extractores, se estima se concluya el 06/10. Los roles y perfiles ya fueron unificados por los usuarios, se espera pruebas para validar que los roles funcionales y de seguridad funcionen correctamente. Pendiente que el proveedor concluya con sus actividades de desarrollo del componente de seguridad como de los procesos de consolidación y configuracion de reglas de PLAYFT.
26/09/2023: De acuerdo al compromiso de Construcción con GG, las obs de los extractores culminarán el 29/09.
19/09/2023: En coordinación con JRuiz y MArquiñigo los archivos extractores será remitidos hoy al proveedor con la validación a nivel de estructura. Respecto a las obs a nivel de data se seguirá revisando y corrigiendo hasta antes del pase a Calidad.
31/07/2023: Se actualizaron las fechas según lo conversado con Jorge Ruiz
19/06/2023: Se actualizó la fecha de fin de producción de acuerdo al cronograma de Sentinel.
17/05/2023: Se actualiza su prioridad (adquirida)
27/01/2023: Se avanzó el analisis y mapeo técnico de OPLAFT, se remitió al usuario para que valide y se envié luego a Fabrica para su desarrollo. Respecto a Fraudes, está pendiente que el usuario confirme la entrega del mapeo segun lo que indica las bases para continuar con el analisis y mapeo técnico.
----------------------------------------------------------------------------------
07/06: Líder técnico no está claramente definido. Indicado por MCarbajo
30/05: Gestor anterior. Omar Sarmiento
10/05: Luis García, solicita culminación de mapeo de datos de movimientos y transacciones de Mario Carbajo (3 semanas sin rpta del mail).
Se indicó que como hay sobrecarga laboral de Mario, de acuerdo a la reunión de hoy al medio día se validará dicha carga laboral con Carmen Iriarte. Mario depende de disponibilidad de tiempo de Carmen para tener dicha reunión.
24/03: Mario Carbajo indico que el 28/03 se incorporaria 1 recurso de OLSSA para mapeo y construcción de extractores.
15/03: Arquitectura compartio el TDR para el Middleware para revisión de las sub-gerencias del TI.
11/02: Ante la licencia solicitada por el líder de integración (Mario Carbajo) hasta el 08/03, queda como líder de integración Jorge Pazos.
10/02: Se identificaron y priorizaron las principales transacciones por Canal para la Entidad Movimiento y Transacciones.
03/02: Se entregó el Mapeo de datos para la Entidad Clientes. 02/02: Se continua con el mapo de entidades de cliente, y esto está demorando por encontrarse en diferentes BD (incluye Excel).
05/01: Se modifica las fechas al año y medio faltante que indicó el usuario se espera para concluir el proyecto.
04/01: La subdivisión de una sola actividad de mapeo de datos la cual se particiona en 5 mapeos. Productos (100%), Catálogos (100%), Data histórica (100%), Clientes (50%- Le falta una parte) y Movimiento y transacciones (0%- Banca celular, ventanilla, ATM y Told).
28/12: Solo una persona asignado (LI). Se ha avanzado el mapeo y extractores de catálogos y productos. El de clientes es más complejo. Transacciones y movimientos ya hubo reunión la semana pasada.La prox semana habrá reunión con Sentinel. 
22/12: De 5 partes del proyecto se ha mepado Productos, catálogos y una parte de clientes. Lo que es movimientos y transacciones aún no está contemplado como parte del mapeo.</t>
  </si>
  <si>
    <t>2023-T0487</t>
  </si>
  <si>
    <t>2023-M0435</t>
  </si>
  <si>
    <t xml:space="preserve">Sentinel - Extracción de Datos Clientes - SARASIGN-Sentinel
</t>
  </si>
  <si>
    <t>Se busca la extracción y análisis de datos de clientes para identificar transacciones sospechosas relacionadas con fraude y lavado de activos en el Banco de la Nación de los datos de los clientes SARASIGN-Sentinel</t>
  </si>
  <si>
    <t>Evolutivo</t>
  </si>
  <si>
    <t>Otros</t>
  </si>
  <si>
    <t>106-VIG/2019-DSBE'
07-2022 DSBE</t>
  </si>
  <si>
    <t>Rec. 11a</t>
  </si>
  <si>
    <t>Rossana Rojas</t>
  </si>
  <si>
    <t>Asignado</t>
  </si>
  <si>
    <t>24/10/24 Segun lo coordinar con Omar Cribillero, Prestamos por IVR se encuentra en Producción y Prestamos por Agentes fué desestimado en el ulitmo comité de Proyectos.
27/06/2024 Se regulariza su registro en la demanda Estratégica.
10/06/2024: Se registró en el Backlog de requerimientos</t>
  </si>
  <si>
    <t>2023-T0493</t>
  </si>
  <si>
    <t>2023-M0440</t>
  </si>
  <si>
    <t>Desarrollo de proceso de extracción de datos para PLAYFT Trama Base de Datos RCD- CLIENTES SENTINEL</t>
  </si>
  <si>
    <t>Se busca la extracción y análisis de datos  para PLAYFT Trama Base de Datos RCD - de clientes para identificar transacciones sospechosas relacionadas con fraude y lavado de activos en el BN.</t>
  </si>
  <si>
    <t>106-VIG/2019-DSBE
07-2022-DSBE</t>
  </si>
  <si>
    <t>Rec. 11c</t>
  </si>
  <si>
    <t>Pendiente</t>
  </si>
  <si>
    <t>Andrés Quiñonez</t>
  </si>
  <si>
    <t>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</si>
  <si>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Generar CQ</t>
  </si>
  <si>
    <t>2024-M0306</t>
  </si>
  <si>
    <t>Integración Fraudes con Sentinel - Entregable9</t>
  </si>
  <si>
    <t>Integración de Sentinel con los canales de Agente Corresponsal, ATM, POS y Ecommerce</t>
  </si>
  <si>
    <t>Pendiente (Sin Anexo)</t>
  </si>
  <si>
    <t>Vladimir Cajavilca</t>
  </si>
  <si>
    <t>En_Certificación</t>
  </si>
  <si>
    <t>13/12/2023: COMITÉ DEMANDA REGULARIZACIÓN: Se regulariza su registro según lo aprobado en comité</t>
  </si>
  <si>
    <t>2024-T0333</t>
  </si>
  <si>
    <t>2024-M0305</t>
  </si>
  <si>
    <t>Integración ATM con Sentinel - Bevertec</t>
  </si>
  <si>
    <t>Integración de operaciones de retiro con y sin tarjeta en el canal ATM, permitiendo su monitoreo por Sentinel para eventos NRT y RT.</t>
  </si>
  <si>
    <t xml:space="preserve"> 504-2021
 6523-2013 
 27614-2021 AS 01-2021-BN
 6523-2013
 504-2021</t>
  </si>
  <si>
    <t>Ninguna</t>
  </si>
  <si>
    <t>Smartsoft, Bevertec</t>
  </si>
  <si>
    <t>2024-T0334</t>
  </si>
  <si>
    <t>Integración Agente Corresponsal con Sentinel - Izipay</t>
  </si>
  <si>
    <t>Se solicita la integración del Agente Corresponsal con Sentinel - Izipay como parte de un requerimiento del Entregable 09</t>
  </si>
  <si>
    <t>Smartsoft, Izipay</t>
  </si>
  <si>
    <t>2024-T0503</t>
  </si>
  <si>
    <t>2024-M0262</t>
  </si>
  <si>
    <t>Integración Fraudes con Sentinel - Entregable 10</t>
  </si>
  <si>
    <t>Integrar la informacion de los canales de APP, Web, USSD del Banco con Sentinel</t>
  </si>
  <si>
    <t>Soluciones Digitales</t>
  </si>
  <si>
    <t>2025-IV</t>
  </si>
  <si>
    <t>Procesado</t>
  </si>
  <si>
    <t>2024-T0306</t>
  </si>
  <si>
    <t>2024-M0450</t>
  </si>
  <si>
    <t>Integración Sentinel con canales virtuales APP y WEB</t>
  </si>
  <si>
    <t>Integración Sentinel con canales virtuales APP y WEB para validación de las reglas antifraude definidas por el área usuaria.</t>
  </si>
  <si>
    <t>6523-2013
504-2021
 6523-2013</t>
  </si>
  <si>
    <t>Mónica García, Marilú Córdova</t>
  </si>
  <si>
    <t>17/10/2024: Según CQ, se actualizó el estado de 04. Desarrollo Finalizado a 05. En Calidad
13/12/2023: COMITÉ DEMANDA REGULARIZACIÓN: Se regulariza su registro según lo aprobado en comité</t>
  </si>
  <si>
    <t>2024-T0436</t>
  </si>
  <si>
    <t>2024-M0381</t>
  </si>
  <si>
    <t>Integración Fraudes con Sentinel - Entregable12</t>
  </si>
  <si>
    <t>Integrar la informacion de RRHH y Contabilidad del Banco con Sentinel</t>
  </si>
  <si>
    <t>Sistemas Administrativos</t>
  </si>
  <si>
    <t>David Coca</t>
  </si>
  <si>
    <t>29/08/2024: Según CQ, se actualizó el estado de 03. En Desarrollo a 05. En Calidad
13/12/2023: COMITÉ DEMANDA REGULARIZACIÓN: Se regulariza su registro según lo aprobado en comité</t>
  </si>
  <si>
    <t>MEMORANDO N° 00000004 -2024-BN/7901</t>
  </si>
  <si>
    <t>Cuenta de Ahorros</t>
  </si>
  <si>
    <t>Milagros Huamaní</t>
  </si>
  <si>
    <t>PCDI-Cuenta DNI</t>
  </si>
  <si>
    <t/>
  </si>
  <si>
    <t>Angela Rocio Risco Vega</t>
  </si>
  <si>
    <r>
      <rPr>
        <sz val="10"/>
        <color rgb="FF000000"/>
        <rFont val="Calibri"/>
      </rPr>
      <t xml:space="preserve">12/01/2026: Mediante correo del 07/12/2026, Luis Palacios Q. comunicó que las siguientes actividades del Realease 3 se encuentran pendientes de culminar para pasar a Producción:
- Revisión y firma de Actas de Conformidad de pruebas funcionales, (Usuario Secc. Canales Virtuales)
- Revisión del WorkBook de QR, nueva versión (4.0) - Cámara de Compensación E., (Marco Obando / Luis Palacios )
- Revisión de reportes contables (TEMENOS)
- Pruebas de seguridad, (TEMENOS / Oficina de Seguridad Informática)
</t>
    </r>
    <r>
      <rPr>
        <b/>
        <sz val="10"/>
        <color rgb="FF000000"/>
        <rFont val="Calibri"/>
      </rPr>
      <t xml:space="preserve">
04/12/2025: Mediante correo del 01/12/2025, Karin Robles indicó el estado de los siguientes requerimientos del Realise 3:
</t>
    </r>
    <r>
      <rPr>
        <b/>
        <sz val="10"/>
        <color rgb="FF4472C4"/>
        <rFont val="Calibri"/>
      </rPr>
      <t xml:space="preserve">Pendiente de coordinación para pasar a Producción - Responsable BACKBASE
</t>
    </r>
    <r>
      <rPr>
        <b/>
        <sz val="10"/>
        <color rgb="FF000000"/>
        <rFont val="Calibri"/>
      </rPr>
      <t xml:space="preserve">2024-M0299	Validación de identidad externa para enrolamiento en Cuenta DNI con registro de titular en línea: 05. En Calidad, 
</t>
    </r>
    <r>
      <rPr>
        <b/>
        <sz val="10"/>
        <color rgb="FF1923EB"/>
        <rFont val="Calibri"/>
      </rPr>
      <t xml:space="preserve">
</t>
    </r>
    <r>
      <rPr>
        <b/>
        <sz val="10"/>
        <color rgb="FF4472C4"/>
        <rFont val="Calibri"/>
      </rPr>
      <t xml:space="preserve">Pruebas de Usuario FUNCIONAL: En revisión de las actas de conformidad por los Usuarios.
Pruebas de RENDIMIENTO: Se cuenta con la APROBACIÓN del PO sobre los informes de Rendimiento
Pruebas de SEGURIDAD: Se envió el informe y reporte de las pruebas al Proveedor de BACKBASE para su revisión y validación en conjunto con el área de Seguridad.
</t>
    </r>
    <r>
      <rPr>
        <b/>
        <sz val="10"/>
        <color rgb="FF1923EB"/>
        <rFont val="Calibri"/>
      </rPr>
      <t>2</t>
    </r>
    <r>
      <rPr>
        <b/>
        <sz val="10"/>
        <color rgb="FF000000"/>
        <rFont val="Calibri"/>
      </rPr>
      <t xml:space="preserve">025-M0071	Transferencias interbancarias inmediatas en la Aplicación móvil de Cuenta DNI	05. En Calidad
2025-M0072	Transferencias Interbancarias inmediatas a Celular (búsqueda de contactos) y con código QR en la Aplicación móvil de Cuenta DNI	05. En Calidad
2025-M0372	Integración del Orquestador de Novatronic con el Core de Cuenta DNI par transferencias inmediatas a otros Bancos.	05. En Calidad
2025-M0280	Integración de Orquestador para Transferencia Inmediata desde Cta. DNI – Servidor para tarifario dinámico (3 ambientes).	05. En Calidad
27/11/2025: Mediante correo del 27/11/2025, Luis </t>
    </r>
    <r>
      <rPr>
        <b/>
        <sz val="10"/>
        <color rgb="FF1923EB"/>
        <rFont val="Calibri"/>
      </rPr>
      <t>Palacios indicóque presentaron una solicitud de cambio donde se estara llevando un mejor control del avance del proyecto, hasta el momento se han mantenido las fechas con los avances porcentuales correspondientes.
05/09/2025: Mediante correo del 04/09/2025, Luis Palacios indicó el estado de las siguientes actividades:
-	Transferencias inmediatas de entrada: Entrega pendiente de API por NOVATRONIC.
-	Transferencias Internas CTA-DNI a CTA-BN: pendiente el inicio de pruebas. BACKBASE propone realizar pruebas con postman al API de Novatronic.
-	Depósito / Retiro en Agentes Corresponsales – Entrega pendiente de API por NOVATRONIC.
-	Depósito / Retiro en Ventanilla – Inicio de pruebas integrales con SARAWEB (29.09.25).
Está pendiente que el usuario gestione la ampliación de plazo e informar a Planeamiento.
25/07/2025:• MP2 (R3) Se han culminado las pruebas funcionales (2do ciclo) en Calidad. Está pendiente la atención de las observaciones por parte del proveedor para dar inicio al 3er ciclo de pruebas. Está pendiente ejecutar las pruebas de rendimiento. Se estima su pase a producción agosto 2025
• MPV 3 (R4) Se encuentra con un avance de 50%, se entregó las Especificaciones técnicas de las APIs para el desarrollo de Novatronic para agentes y transferencia de entrada. En proceso el desarrollo de retiro y deposito por ventanilla. Luego de ello se realizará una prueba integral. Se estima su pase a producción Nov_2025.
En coordinaciones con usuario para la actualizacion del cronograma.
7/07/2025:  Según lo informado por el usuario LPalacios mediante correo del 17.07 indico:
• MP2 (R3) Se encuentra con un avance de 90% quedando pendientes ejecutar las pruebas de rendimiento. Se estima su pase a producción agosto 2025
• MPV 3 (R4) Se encuentra con un avance de 50%, se entregará las Especificaciones técnicas de las APIs para el desarrollo de Novatronic. Luego de ello se realizará una prueba integral. Se estima su pase a producción Nov_2025
Estas fechas deberían ser comunicado a la Gerencia de Planeamiento.
11/06/2025:Según la información enviada de Planeamiento en el mes de Mayo se precisa lo siguiente:
Durante la ejecución de las pruebas integrales en el entorno de desarrollo, en las que participan los tres proveedores (Backbase, Temenos y   Novatronic), se han identificado incidencias relacionadas con la conexión a la Cámara de Compensaciones y con los tiempos de respuesta en las operaciones correspondientes al proceso de interoperabilidad (transferencias interbancarias inmediatas y pagos con QR).
-Estas situaciones vienen siendo atendidas de manera conjunta por Novatronic, Temenos y el Banco de la Nación.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07/05/2025: Según la información enviada por Planeamiento mediante correo: Se continúan las pruebas en desarrollo de  las funcionalidades de transferencias inmediatas, por contacto y QR  con el proveedor BACKBASE, TEMENOS y NOVATRONIC.
Se mantienen las pruebas en desarrollo de las funcionalidades de retiro y deposito en agente BN y para retiro y depósito en ventanilla con el proveedor TEMENOS y el BN.
31/12/2024: Las áreas usuarias validaron las funcionalidades de retiro y depósito en Ventanilla y se procedió con la generación del Anexo 2 para solicitar la inscripción en el Clear Quest. Se continúan coordinando con el proveedor Temenos para correcciones. Siguen en construcción la funcionalidad de transferencias Q
23/05/24 Mediante comité estratégico de proyectos con fecha 06.05.24 se aprobó el control de cambios del proyecto.Esto implica nuevas actividades y actualizacion en el cronograma. TI solicitará al usuario remtiir anexo 1 actualizado.
08/04/24 Se cambió la fecha de Fin de proyecto a 2025
20/03/24 Usuario remitió modelo de negocio y se registró en la demanda estrategica de TI, sin embargo se encuentra pendiente que el usuario remita modelo de negocio actualizado. Está retrasado porque el proveedor no contempló dentro del cronograma actividades funcionales que son necesarias para el proytecto. Presentarán un control de cambios a nivel de alcance, tiempo y presupuesto.
03/06/2025: Según la información enviada de Planeamiento mediante correo respecto al proyecto en el mes de abril se tiene que: Durante las pruebas integrales (participación de los 3 proveedores) se presentó incidencias con el tarifario dinámico que interactúa con todo el proceso de interoperabilidad (transferencias interbancarias inmediatas, pago con QR) la que está siendo atendidas por Novatronic. Asimismo, el proveedor Tenemos, presentó incidente en la data que se trasmite al core T24.
Se realizan reuniones de seguimiento 2 veces al día para el seguimiento de las pruebas y corrección de los incidentes
Se estima culminar las pruebas en desarrollo la primera semana de mayo iniciar pruebas en el ambiente de Calidad.
30/04/25: Según lo informado por el usuario LPalacios mediante correo, la fecha fin del proyecto que estaba proyectado de culminar en abril ahora se indica lo siguiente: 
• Transferencias inmediatas: Fines de mayo a quincena de junio.
• Depósito / Retiro en Ventanilla: Fines de mayo a quincena de junio.
• Depósito / Retiro en agentes: fines de junio a quincena de julio.
04/04/25: Según lo informado por el usuario LPalacios mediante correo del 28/03, la fecha fin del proyecto estaba programado para el 30 de marzo, sin embargo, todavía existe dependencias de los proveedores, por lo que se proyecta culminar con el Proyecto el 30 de abril..
28/02/2025: Transferencias Interbancarias Inmediatas (CCI, QR, Contacto), Transferencias Internas CTA-BN a CTA-DNI, Retiro/Depósito Agentes Corresponsales, Retiro y Depósito en Ventanilla se encuentran en Desarrollo. Usuario remitió 1 nuevo requerimiento asociado al Proyecto, el mismo que se encuentran en Desarrollo
21/03/25: Mediante correo del 21/03/25 de Planeamiento se indica:
Se encuentra en pruebas de desarrollo las funcionalidades de transferencias inmediatas, por contacto y QR  con el proveedor BACKBASE, TEMENOS y NOVATRONIC. Se han culminado las pruebas en certificación para las funcionalides de Generación de Estados de Cuenta y Cambio de CCI con el proveedor TEMENOS. Para la quincena de marzo se espera el pase a producción
17/01/25 En proceso de atención 
28/01/25 El desarrollo asociado a Saraweb (2024-M0299-Validación de identidad externa para enrolamiento en Cuenta DNI con registro de titular en línea) está culminado. A espera que el proveedor realice el cambio en su API para retomar las pruebas de integración. Usuario remitió 3 nuevos requerimientos asociados al Proyecto, el mismo que se encuentran en Planificación.
31/12/24: Las áreas usuarias validaron las funcionalidades de retiro y depósito en Ventanilla y se procedió con la generación del Anexo 2 para solicitar la inscripción en el Clear Quest.
Se continúan coordinando con el proveedor Temenos para correcciones.
20/03/24 Usuario remitió modelo de negocio y se registró en la demanda estrategica de TI, sin embargo se encuentra pendiente que el usuario remita modelo de negocio actualizado. Según lo informado por Planeamiento, el Py está retrasado porque el proveedor no contempló dentro del cronograma actividades funcionales, que son necesarias para el proyecto. Presentarán un control de cambios a nivel de alcance, tiempo y presupuesto e informarán a TI.
16/02/2024: COMITE EXCPECIONAL: Se realiza su priorización
El Proyecto fue priorizado por el Ejecutivo de Proyecto, se tiene el Anexo 1 - Modelo de Negocio. Usuario remitó requerimiento para enrolamiento con Bioemtría facial.</t>
    </r>
  </si>
  <si>
    <t>MEMORANDO N° 00000078 - 2025-BN/2542</t>
  </si>
  <si>
    <t>Soporte a la IT</t>
  </si>
  <si>
    <t>CONSORCIO ALFIL</t>
  </si>
  <si>
    <t>Lorenzo Uzurriaga</t>
  </si>
  <si>
    <t>2025-II</t>
  </si>
  <si>
    <t>09. Finalizado</t>
  </si>
  <si>
    <t>17/07/2025: El Proyecto Culminó en el mes de abril2025.
11/06/2025:Según la información enviada de Planeamiento en el mes de Mayo se precisa lo siguiente:
El Equipo Técnico del proyecto informó que, se culminó con la implementación al 100%. 
Asimismo, se presentó el avance de las siguientes actividades:
      Implementación:
	Ejecución: 100% (finalizado)
	Monitoreo y Control: 100% (finalizado)
	Cierre 100% (finalizado)
03/06/2025: Según la información enviada de Planeamiento mediante correo respecto al proyecto en el mes de abril se tiene que: El proyecto ha sido culminado. Fin del Proyecto.
21/05/2025: Según el Acta de Reunión N°04-2025 del Comité de Proyectos, se enviará a Planeamiento el Acta de Cierre del Proyecto y el fomato de lecciones aprendidas en las próximas semanas.
07/05/2025: Según la información remitida por Planeamiento mediante correo: A nivel tareas, actualmente se encuentra en la Etapa de Implementación del Proyecto.
El Equipo Técnico del proyecto informó que, solo faltan instalar 45 equipos de 547 nuevos equipos en la Red de Agencias. Además, se revisaron posibles riesgos y desafíos que podrían impactar el cronograma, con el objetivo de tomar medidas preventivas y correctivas.
Finalmente, se comunicó que las actividades del proyecto se vienen realizando de acuerdo a lo planificado.
Asimismo, se presentó el avance de las siguientes actividades:
•	Implementación:
	Ejecución: 96% (en proceso)
	Monitoreo y Control: 97% (casi finalizado)
31/12/2024: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23/05/24 Validar si se firmó el contrato. A espera que el proveedor entregue el plan de trabajo.
25/04/2024 Mediante Memo N° 63-2024-BN2810 en que se entrega la nueva lista de proyectos con componente TI se genera cambio en el lider del proyecto de José Macedo a Alejandro Sifuentes 
25/04/2024 Mediante Memo N°60-2024-BN2810 se informa que se requiere el informe de las razones del retraso del proyecto asi como sus acciones correctivas para la presentación al comité del 26.04 
20/03/24 Esta en proceso logistico (analisis de oferta y la buena pro se dará en marzo). Presentarán un nuevo cronograma con control de cambios.
03/06/2025: Según la información enviada de Planeamiento mediante correo respecto al proyecto en el mes de abril se tiene que el proyecto ha sido culminado.
21/05/2025: Según el Acta de Reunión N°04-2025 del Comité de Proyectos, se enviará a Planeamiento el Acta de Cierre del Proyecto y el fomato de lecciones aprendidas en las próximas semanas.
30/04/2025: El Equipo Técnico del proyecto informó que, se culminó con la implementación al 100%. Finalmente, también se comunicó que las actividades del proyecto se realizaron de acuerdo a lo planificado.
Se comunicará y se enviará a la G. de Planeamiento el Acta de Cierre de proyecto y lecciones aprendidas
31/03/2025: Las actividades del proyecto se vienen realizando de acuerdo a lo planificado.
Actualmente, solo faltan instalar 45 equipos de 547 nuevos equipos en la red de agencias.
21/03/25: Mediante correo del 21/03/25 de Planeamiento se indica:
El Equipo Técnico del proyecto seguirá apoyando al proveedor en la instalación de switches en lobbys, agencias y oficinas especiales, reafirmando su compromiso con el éxito del proyecto.
Para asegurar el cumplimiento del cronograma, el Equipo Técnico hará un seguimiento constante del avance de la instalación e informará sobre los hitos alcanzados. Si es necesario, se gestionará un control de cambio para ajustar el cronograma a las nuevas fechas y mantener la alineación con los objetivos del proyecto.
28/02/2025: El Equipo Técnico del proyecto informó que, desde febrero, ha estado brindando apoyo al Proveedor en la instalación de Switches en lobbys, agencias y oficinas especiales. Además, se revisaron posibles riesgos y desafíos que podrían impactar el cronograma, con el objetivo de tomar medidas preventivas y correctivas.
Asimismo, se presentó el avance de las siguientes actividades:
•	Implementación:  Planificación: 100% (completada) , Ejecución: 48% (en proceso), Monitoreo y Control: 94% (casi finalizado)
17/02/2025:  El Proveedor esta realizando las actividades segun lo planificado en el nuevo cronograma, al respecto  el Equipo Técnico del proyecto en caso de que sea necesario, solicitará un control de cambio, a fin de ajustar el cronograma conforme a las nuevas fechas. 
31/01/2025:Se informa que el 13.01.2025 el BN recibe la solicitud de ampliación de plazo N°01 presentada por el contratista CONSORCIO ALFIL CONSULTORIA Y COMUNICACIONES S.A.C. - ADISTEC PERU S.A.C. donde solicitan 32 (treinta y dos) días calendario de ampliación del plazo contractual al contrato esto debido a que en el mes de diciembre 2024, las actividades fueron suspendidas a pedido del área usuaria (Sección Canales Presenciales de la Subgerencia Canales Alternos de la Gerencia Banca Digital).  El 25/01/2025, la Sección Soporte de la Infraestructura emite el informe N° 022-2025-BN/2574 solicitado por la Sección Seguimiento Administrativo de contratos mediante Memorando N° 041-2025-BN/2664 el 14/01/2025.
Finalmente, el  27/01/2025, Mediante Resolución de Gerencia de Administración y Logistica N° 007-2025-BN/5500, declara procedente la solicitud de ampliación de plazo N°01 presentada por el contratista CONSORCIO ALFIL CONSULTORIA Y COMUNICACIONES S.A.C. - ADISTEC PERU S.A.C. con fecha 13/01/2025, toda vez que cumple con los requisitos establecidos por ley.
31/12/24: *Se instalaron 280 switches para las sedes administrativas así como la implementación de los servidores plataforma de gestión, la solución NAC y Control de accesos. Dado esto, se viene realizando la entrega de la conformidad del servicio para el pago correspondiente por esta primera etapa.
* Los usuarios de Canales Virtuales y Red de Agencias solicitaron no realizar trabajos durante esta semana por lo que se suspenden las actividades hasta el mes de enero.
13/12/2024:  Se informó el avance de las siguientes actividades: Planificación: 95%, Ejecución: 40%, Monitoreo y Control: 82%.. Se culminó con la instalacion en la Sede Principal de San Borja y Elizalde. Nos informaron que el nuevo Líder Técnico es el analista Alberth Rivera 
08/11/2024: Se informó el avance de las siguientes actividades: Planificación: 95%, Ejecución: 34%, Monitoreo y Control: 68%. Solo queda pendiente la instalación de switches en el piso 1 y el Network Access Control – NAC, progreso al 80%.
26/09/2024: Se informó el avance de las siguientes actividades: Planificación: 95%, Ejecución: 17%, Monitoreo y Control: 53% 
09/08/2024: Durante el mes de agosto se realizarán actividades de instalación de Switches en el Local de Elizalde y San Borja. Actualmente se encuentra en la Etapa de Implementación del Proyecto y se realizan las actividades según el Plan de Trabajo presentado por el Proveedor.
11/07/2024: Se acepto el Control de Cambio para sincerar las fechas del cronograma de actividades, el Proyecto se desarrolla segun lo planificado.
21/06/24 El 02/05/2024 se firmó el Contrato y el 17/05/2024 se realizó la reunión de kickoff con la presentación y aprobación del Plan de Trabajo por parte del Proveedor. Actualmente se encuentra en la Etapa de Implementación del Proyecto, asimismo el Equipo del proyecto presentó Control de Cambio a la Gerencia de Planeamiento, para sincerar las fechas del cronograma.
03/05/24 La buena pro se dio el 22/03/24, actualmente se están revisando los documentos para la firma del contrato.
Proyecto aprobado por P&amp;D y comunicado a TI mediante MEMORANDO N° 00000201 - 2023-BN/2810</t>
  </si>
  <si>
    <t>MEMORANDO N° 00000052-2024-BN/7920</t>
  </si>
  <si>
    <t>Percy Silva</t>
  </si>
  <si>
    <t>Producción; Sistemas Bancarios, Sistemas Administrativos; Soluciones Digitales</t>
  </si>
  <si>
    <t>Beltech</t>
  </si>
  <si>
    <t>Vladimir Cajavilca; Ricardo Cuba; Mario Carbajo; Eduardo Cardenas, Norma Fukunaga, Rossana Rojas.</t>
  </si>
  <si>
    <t>30/12/2025: Según el acta de reunión del comité de proyectos, se debe entregar el cronograma firmado según el último control de cambios (noviembre 2025) y enviarlo vía STD a la Gerencia de Planeamiento y Control de Gestión. Asimismo, Banca Digital debe presentar el informe de evaluación costo–beneficio sobre las propuestas de alquiler de ATM’s.
05/09/2025 BN viene realizando la configuración del Zytrust para el ambiente de Desarrollo. El proveedor ha solicitado usuarios del Active Directory para el Zytrust y se está agendando reunión con el equipo de seguridad. Sobre los controles EMV, equipo de Seguridad Informática precisa que la validación EMV es un control requerido por la SBS, esta pendiente el pronunciamiento del Proveedor y realizarse reunión con la participación del Oficial de Cumplimiento y el Área Usuaria.
El 29/08 se remitió al Proveedor observaciones al Plan de continuidad.
El equipo de Construcción remitió la documentación de las APIs.
El 29/08 se remitió al Proveedor observaciones al Plan de continuidad.
El equipo de Construcción remitió la documentación de las APIs
25/07/2025: Usuaria MCarbajo confirmó el inicio de la Etapa de implementación a partir del 15/07, fecha en la cual el Quiosco fue internado en el laboratorio de la sede principal del BN, respecto al cual se están realizando coordinaciones con el Proveedor para efectuar la instalación y/o configuración del Quiosco. El BN-Construcción se encuentra desarrollando las APIs segun flujos definidos en el Modelo de Negocio. De acuerdo a revisión conjunta con el area usuaria de la matriz de riesgos, se requiere una actualización del Anexo1-modelo de negocio. Pendiente actualizar cronograma en coordinación con el Proveedor y usuarios.
17/07/2025: TI remitió el 11/07 los informes de conformidad a Banca Digital de acuerdo a su competencia. Banca digital confirmó el inicio de la etapa de instalación, configuración y desarrollo de la aplicación a partir del 15/07 (Por 90 días). El día 15/07 se realizo el internamiento del quiosco en el laboratorio del BN (Oficina Principal). Se agendarán reuniones para revisar el cronograma y definir las actividades técnicas y plazos.
07/07/2025: Los Informes de COnformidad de equipos se encuentran en proceso de emision para ser reportados a Banca Digital.
11/06/2025:Según la información enviada de Planeamiento en el mes de Mayo se precisa lo siguiente:
Las áreas de Sección Soporte de la Infraestructura Tecnológica y Atención a Usuario, Sección Sistemas Bancarios, Sección Canales Presenciales y Subgerencia de Innovación digital ya verificaron los equipos de quioscos multimedia ingresados al almacén del Banco y está en proceso la firma de las actas de conformidad respectivas de cada área.
Se espera tener el flujo funcional cerrado, para ello se esta realizando las reuniones de entendimiento entre las áreas responsables.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07/05/2025: Según la información enviada por Planeamiento mediante correo: Se encuentra en proceso la definición del esquema de integración de los quioscos con el core del Banco para la transacción de reposición de tarjeta, lo que permitirá continuar con las actividades que se tenían planificadas, 
31/12/2024: Se completó la firma del contrato con la empresa ganadora y se tiene un cronograma con control de cambios aprobado por el Comité de proyectos
23/05/24 Mediante comité estratégico del proyecto con fecha 06.05.24 se informa que se aprobó el control de cambios, que implica un nuevo cronograma; el alcance se mantiene.
15/05/2024 Mediante correo de Marita Carbajo entrega ETMS actualizados y deja constancia que con memo N°568-2024-BN-2662 hay consultas de Belltech de ser necesarias agregarlas a ETMS.
02/05/2024 Mediante correo de Hector Sevalla se da a conocer los temas e implementaciones que puede tener el proyecto, se deja en conocimiento la inclusión a un sistema ESP/LINK, aumento de funcionalidades de ATM e inclusión de BEVERTEC. A la espera de agendarse reunión para 02.05 y consolidar los temas pendientes.
26/04/2024 Mediante correo se espera la actualización del documento Anexo 1 que debe ser remitido por el área correspondiente por tener observaciones en el nombre del proyecto y falta de fecha del proyecto. Asi mismo, se espera la solicitud de validación del cronograma del proyecto. Mediante correo se pide reagendar reunión y confirmar la asistencia a esta del Subgerente de Construcción de aplicaciones.
25/04/2024 Mediante correo de Marita Carbajo se da conocimiento de la consulta en coordinacion de Construcción de aplicaciones y el proveedor sobre el intercambio de llaves para que el Kiosko se comporte como un ATM. Se pide agendar reunión para el 26.04 con miembros de TI
24/04/2024 Se entrega vía correo por parte de Marita Carbajo el Anexo 1"Modelo de Negocio".
24/04/2024 Se recibe el correo envíado por Marita Carbajo en el que se notifica la entrega de documentación de Viabilidad Técnica, Modelo funcional y Cronograma del proyecto. Se pide enviar el Modelo de Negocio - Anexo 1
08/04/24 Se realizó cambio de fecha de fin de proyecto de 2023 a 2025
20/03/24 Usuario se encuentra resolviendo las observaciones de las ETMs en coordinación con Logística. Habra un control de cambios, en base al cronograma que presentará el usuario. Pendiente que el usuario remita modelo de negocio para registrar el Proyecto en la demanda estrategica priorizada.
Modelo de Negocio Observado
03/06/2025: Según la información enviada de Planeamiento mediante correo respecto al proyecto en el mes de abril se tiene que: Se recepcionó los quioscos multimedia en el almacén del Banco y se inició las coordinaciones para proceder a la verificación de los equipos durante el mes de mayo. Cabe resaltar que el proveedor efectuó la referida entrega con antelación, dado que estuvo planificada para el mes de julio.
02/06/2025 El 22/5/2025 se programó la visita de las áreas respectiva para la verificacion de levantamiento de observaciones. Banca Digital mediante Memo: N° 00000063 - 2025-BN/7920 del  26/05/2025, remitió a TI, las licencias pendientes de Quioscos por parte de contratista, los cuales fueron envidas a las áreas responsables de Banco para su revisión y elaboración de informe u observaciones.
09/05/2025  El 25/4/2025 el contratista entrego los equipos , mediante Guía De remisión N° T003-146; El 30/4/2025 se realizó la primero verificación física  de equipos y el 8/5(2025 se realizo la segunda revision,  se remitio informe via correo a Banca Digital; El 06/5/2025 se realizó reunión entre Bevertec , Belltech y Banco de la Nación para definir el tema de las API
04/04/2025: TI remitió informes técnicos con MEMORANDO N° 00000021 - 2025-BN/2542 y MEMORANDO N° 00000036 - 2025-BN/2542 con observaciones, respecto a las coordinaciones iniciales con el proveedor se solicitó al líder usuario que coordine con Legal, Logística y Planeamiento resolver las divergencias con el Proveedor.
21/03/25: Mediante correo del 21/03/25 de Planeamiento se indica:
Se continuó efectuando las reuniones de entendimiento técnico y funcional entre los equipos del BN y Proveedor, sobre los flujos funcionales y técnicos, arquitectura, encriptamiento de disco, flujo de pantallas y prototipos, entre otros.
03/03/25: Se están ejecutando reuniones de entendimiento con el Proveedor, se revisaron los flujos con el area usuaria, además de la arquitectura y prototipos funcionales.
28/01/25 Se está realizando reuniones técnicas/funcionales con el equipo técnico involucrado, usuarios y Proveedor.
03/03/25: El equipo de TI, remitió informe respecto a los aspectos técnicos que deben de tomar en cuenta el proveedor para la implementación del proyecto. En reuniones periódicas para delimitar el alcance. 
24/10/24 Se encuentra en Logística - comité de selección (absolución de consultas)
03/05/24: Anexo 1 recibido el 12/04/24. Actualmente se encuentra en modificación de TDR por estudio de mercado y en taller de riesgos. Responsable Actual Sub. Arquitectura de TIC</t>
  </si>
  <si>
    <t>2024-T0311</t>
  </si>
  <si>
    <t>2024-M0264</t>
  </si>
  <si>
    <t>SENTINEL Mejora Extractor Transacciones Emulación/Batch Transferencias Al/Del Exterior</t>
  </si>
  <si>
    <t xml:space="preserve"> Mejoras al extractor de Transacciones Emulación/Batch Transferencias Al/Del Exterior</t>
  </si>
  <si>
    <t>Correctivo</t>
  </si>
  <si>
    <t>Rec. 7b
Rec. 11a
Rec 11b
Rec. 11c
Rec. 8.1</t>
  </si>
  <si>
    <t>María Eva Alfaro</t>
  </si>
  <si>
    <t>09/05/2024: Se registró en la demanda integral</t>
  </si>
  <si>
    <t>SENTINEL: Integración con Canales ATM y VISA (POS e E-Commerce) - BEVERTEC</t>
  </si>
  <si>
    <t>10. Descartado</t>
  </si>
  <si>
    <t>23/19/2025: Se descarta por duplicidad ID 1751
21/05/2024: Se registró en la demanda integral y estrategica.</t>
  </si>
  <si>
    <t>SENTINEL: Integración con Canal Agentes Multired - IZIPAY</t>
  </si>
  <si>
    <t>23/19/2025: Se descarta por duplicidad ID 1752
21/05/2024: Se registró en la demanda integral y estrategica.</t>
  </si>
  <si>
    <t>2024-T0351</t>
  </si>
  <si>
    <t>2024-M0299</t>
  </si>
  <si>
    <t>Validación de identidad externa para enrolamiento en Cuenta DNI con registro de titular en línea</t>
  </si>
  <si>
    <t>Se requiere permitir la validación de identidad de ciudadanos que utilizan una línea celular que no es de su titularidad, para lo cual deben indicar el titular.</t>
  </si>
  <si>
    <t>Carlos Barzola</t>
  </si>
  <si>
    <t>MEMORANDO N° 00000071 -2024-BN/7901</t>
  </si>
  <si>
    <t xml:space="preserve">Servicios Bancarios Diversos </t>
  </si>
  <si>
    <t>Temenos,Backbase</t>
  </si>
  <si>
    <t>25/10/2024 De acuerdo a lo coordinado con ARisco el Desarrollo está terminado. En paralelo se está realizando el desarrollo en Saraweb, posterior a ello se podra realizar la prueba en desarrollo y efectuar el pase a Calidad.
28/05/2024: Se registra en la demanda integral y estrategica. El requerimiento es hijo del Proyecto Cuenta DNI (ID padre 2056).</t>
  </si>
  <si>
    <t>2024-T0460</t>
  </si>
  <si>
    <t>2024-P0481</t>
  </si>
  <si>
    <t>MEMORANDO N° 00000017 - 2024-BN2180
MEMORANDO N° 00000044 - 2024-BN2180</t>
  </si>
  <si>
    <t>Agencias</t>
  </si>
  <si>
    <t>Mejora de Procesos</t>
  </si>
  <si>
    <t>SGIR-Sistema Gestion Integral de Riesgos</t>
  </si>
  <si>
    <t xml:space="preserve">GlobalSuite / Telefónica Tech Perú </t>
  </si>
  <si>
    <t>Emerson Quecara</t>
  </si>
  <si>
    <t>Aprobado</t>
  </si>
  <si>
    <t>05. En Calidad</t>
  </si>
  <si>
    <t>14/01/2026 EEl Proyecto tuvo un retraso por parte del Proveedor en la entrega de la documentación del ciclo de vida de software, requisito para el pase a Calidad, motivo por el cual el pase a calidad se realizó el 16/12/25, a partir del cual se inició el proceso de despliegue hasta el 12/01/26. El avance de las pruebas previas de Calidad es del 11% y se ejecutará del 13 al 18/01. Las pruebas de usuario, se llevará a cabo del 19/01 al 23/01. Se estima pase a producción fines del mes de enero, considerando que el Proveedor haya resuelto todos los defectos y haya subsanada las vulnerabilidades
15/12/2025 Con fecha de hoy, se aprobó el pase a Calidad. Las vulnerabilidad detectadas fueron asumidas por el area de Riesgos (ver correo de fecha jueves, 11 de diciembre de 2025 10:00 replicado por Leslie Vallejos). A la fecha, en coordinación con el Proveedor se están inciando las actividades de despliegue en el ambiente de Certificación para lueo iniciar con las pruebas de usuario. 
10/10/2025: El area líder del Proyecto elaboró el plan actualizado 
05/09/2025: El proveedor en coordinación con TI-BN realizaron el despliegue de los microservicios en desarrollo para integrar con Oracle e Ivanti, siendo exitosa la prueba. El proveedor remitió plan para para culminar el 19/09 la integración de ISIM con BN. Se tendrá reunión el 09/09 para revisar la arquitectura y para configurar las licencias de RedHat. El usuario viene compartiendo con TI los casos de prueba para revisar el cumplimiento del formato solicitado.
Está pendiente que el usuario gestione la ampliación de plazo e informar a Planeamiento.
25/07/2025: La integración con ISIM-IBM presenta error y continua en revisión del Proveedor. Sobre los Casos de Prueba, se encuentra en proceso de elaboración del lado proveedor en coordinación con los usuarios de cada módulo. Respecto a los nuevos servidores solicitados para los reportes de los usuarios, el equipo de TI manifestó que no se encuentra especificado en los TDR por lo que se recomendó coordinar con Logística.
11/06/2025:Según la información enviada de Planeamiento en el mes de Mayo se precisa lo siguiente:
Hay retrasos en las tareas de reportería, conector ISIM, pruebas, etc., Estos se deben a la alta dependencia de Telefónica con su partner Global Suite. 
En abril se reporto avance de 43%,  proyecto tiene fecha de fin julio 2025.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07/05/2025: Según la información remitida por Planeamiento mediante correo: Se han completado 4 de los 15 entregables. El quinto está retrasado por incumplimientos de Global Suite. Por lo que se espera sean superadas en abril.
31/12/2024: Esta en ejecución las tareas: Instalación, Parametrización, Conversión y Migración que tienen retrasos de hasta 7 meses ,debido a las integraciones con las Aplicaciones IVANTI y Oracle y las pruebas de los módulos nuevos con los usuarios.
22/05/24 Usuario presentará un control de cambios; confirman que culminan este año 2024. Contrato firmado el 15/05/24, revisar Memo 086-2024/2182 donde solicitan apoyo de TI.AO24
03/05/2024 En proceso logístico para el otorgamiento de Buena pro
08/04/24 Se ha cambiado la fecha de Fin de proyecto de 2025 a 2024.
20/03/24 Está retrasado en la suscripcion del contrato. Se agendará una reunión para revisar las siguientes actividades que involucra a TI según cronograma. Pendiente que el usuario remita modelo de negocio para registrar el Proyecto en la demanda estrategica priorizada.
Pendiente envío Modelo de Negocio
03/06/2025: Según la información enviada de Planeamiento mediante correo respecto al proyecto en el mes de abril se tiene que: Los retrasos en las tareas como reportería, conectores ISIM, etc., se deben a la dependencia de Telefónica con su partner GlobalSuite. Adicionalmente, la limitada flexibilidad del proveedor para ofrecer alternativas a los impases está generando demoras en los ajustes y aprobaciones del área de riesgo
08/05/25: Está pendiente que el Proveedor realice la integración con ISIM y la elaboración de los Casos de Prueba para el inicio de las pruebas en el ambiente de Desarrollo
09/04/25 Segun reunión con el usuario 
04/04/2025 En coordinación con LCachuan se tiene el sgte estatus: Las configuraciones de las vistas del lado del proveedor se encuentran en proceso, el proveedor concluyó la integración con Ivanti a 100%; En coordinaciones para crear el grupo en AD; La integración con ISIM debió culminar el 31/03 (retraso por entrega de los servidores), Usuarios se encuentran revisando la malla de roles y perfiles en coordinación con el proveedor; el proveedor debe concluir con los casos de prueba para que el usuario pueda iniciar sus pruebas en desarrollo (aprox. mayo 2025).
21/03/25: Mediante correo del 21/03/25 de Planeamiento se indica:
Aprobado el control de cambios se está realizando el proceso de actualización del cronograma detallado del proyecto por parte del Proveedor Telefónica y asimismo continua el proceso de implementación de las funcionalidades del software.
03/03/25: La integración con el AD  está concluido. El desarrollo-BN de las vistas en Oracle está terminado al 100% (sigue su flujo de ciclo de vida de sw). La integración con Ivanti esta siendo desarrollado por el proveedor de Telefónica. La integración con ISIM por parte del proveedor está al 80%. El formato de Roles y Perfiles está en proceso a cargo del usuario y el proveedor. 
31/01/25: Se validó la integración con AD-GlobalSuite. Usuario dió conformidad a las vistas desarrolladas en Oracle-BN. Proveedor está desarrollando la integración con Invanti, e-mail y el componente de ISIM. Pendiente que el proveedor remita casos de prueba de cada módulo. Usuario se encuentra elaborando el formato 7 de roles y perfiles.
28/01/25: En reuniones técnicas / funcionales con el proveedor y usuariosm hasta la 1ra semana de febrero.
31/12/24: Esta en ejecución las tareas: Instalación, Parametrización, Conversión y Migración que tienen retrasos de hasta 7 meses ,debido a las integraciones con las Aplicaciones IVANTI y Oracle y las pruebas de los módulos nuevos con los usuarios.
24/10/24 Segun lo informado por Luis Cachuan: En Oracle está listo el desarrollo de las vistas, pendiente reunion con el Proveedor para definir como consumir las vistas. Con Ivanti presentaron una cotización para implementar el flujo, usuario está coordinando reunión con telefónica para determinar como se realizará dicha atención. La arquitectura se encuentra aprobada. Con respecto a la integración con AD, el usuario se encuentra completando formato para generar la cuenta de Integración. En paralelo el Proveedor esta atiendo en el propio aplicativo con data de prueba proporcionada por el area usuaria.
27/06/24 Se aprueba su ingreso a la demanda estrategoca.
13/06/2024: Se registró en el Backlog de requerimientos</t>
  </si>
  <si>
    <t>Producción</t>
  </si>
  <si>
    <t>Tribunal Constitucional</t>
  </si>
  <si>
    <t>Jesus Alejandro Chavarria Mostacero</t>
  </si>
  <si>
    <t>07/07/2025: El proyecto ha sido cerrado formalmente, luego de la culminación exitosa de la negociación entre el Banco de la Nación y el Tribunal Constitucional, mediante la cual se amplió el plazo de cesión de uso de los ambientes ocupados por el Data Center Alterno, extendiéndose del 06 de octubre de 2026 al 06 de octubre de 2029.
Ejecutado 26% y planificado  98%
11/06/2025:Según la información enviada de Planeamiento en el mes de Mayo se precisa lo siguiente: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07/05/2025: Según la información remitida por Planeamiento mediante correo: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(06 oct 2029).
31/12/2024: El proyecto se encuentra a la espera de la respuesta del Tribunal Constitucional para que indiquen si el tiempo de permanencia del centro de datos se aplaza o no.
23/05/24 TI concluyo con la alaboración del TDR, pendiente envío a Logistica para inicio de estudio de MErcado.
03/05/2024 En elaboración de TDR's y otros documentos para iniciar el estudio del mercado.
25/04/2024 Mediante Memo N° 63-2024-BN2810 en que se entrega la nueva lista de proyectos con componente TI en el mismo se registra nuevo Lider del proyecto por lo que se procede al cambio correspondiente de José Macedo a Alejandro Sifuentes. 
10/04/2024 Con correo se envía el memorando N°00000044-2024-BN/2810 "Retraso de envío de información"  comunica que el pedido fue atendido mediante memorando 00000012-2024-BN/2540 a la fecha de 08.04.2024.
Proyecto fue aprobado por el Comité ejecutivo de Proyectos el 27.03.2024 solicitando ajustes a los documentos iniciales que fueron atendidos y enviados por medio de correo.
06/06/2025: El Equipo Técnico continuará con el seguimiento de las actividades relacionadas con la condición suspensiva, asegurando su cumplimiento dentro del plazo estipulado.
Con la aceptación de la minuta y la culminación de las actividades suspensivas, el proyecto alcanza su fase de cierre. Se procederá con el envío del informe y el formato de cierre de proyecto, incluyendo las lecciones aprendidas.
03/06/2025: Según la información enviada de Planeamiento mediante correo respecto al proyecto en el mes de abril se tiene que: A nivel tareas,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21/05/2025: Según el Acta de Reunión N°04-2025 del Comité de Proyectos, la Gerencia líder debe esperar la respuesta del Tribunal Constitucional para elaborar el Acta de Cierre del Proyecto y el formato de captura de lecciones aprendidas.
08/05/25: Se coordinará con el líder técnico de producción para el cierre del proyecto de Traslado de Centro de Cómputo de San Isidro y se informará a la Gerencia de Planeamiento.
30/04/2025: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en espera de la respuesta formal del Tribunal Constitucional al proyecto enviado el 7/03/2025 por la Gerencia General, donde se propone una ampliación de plazo por la cesión de uso de espacio físico donde se aloja el Data Center hasta por tres (03) años (10/2029).
31/03/2025: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estamos a la espera de la respuesta formal del Tribunal Constitucional al proyecto enviado el 7/03/2025 por la Gerencia General, donde se propone una ampliación de plazo por la cesión de uso de espacio físico donde se aloja el Data Center hasta por tres (03) años (06 oct 2029),
21/03/25: Mediante correo del 21/03/25 de Planeamiento se indica: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28/02/2025: El Equipo Técnico informó que las actividades del proyecto continúan en estado de espera debido a la negociación en curso de la extensión del plazo de cesión en uso de los ambientes ocupados por el Data Center de Contingencia del Banco hasta octubre del 2028 con el Tribunal Constitucional, cuyo resultado determinará la continuidad o cierre del proyecto. Si la negociación no prospera, las actividades pendientes se reanudarán conforme al plan establecido.
Actualmente, la Gerencia Legal está elaborando el informe sobre la viabilidad legal de la modificación del contrato, así como la minuta correspondiente.
17/02/2025:El 12/02/2025 el Tribunal Constitucional respondió mediante comunicación formal indicando que la propuesta del BN se encuentra en evaluación y que, para continuar con el proceso de aprobación, es necesario remitir un proyecto de adenda. En ese sentido, el área legal del BN ya se encuentra trabajando en la elaboración de dicha propuesta. 
31/01/2025: A la espera de la respuesta formal del Tribunal Constitucional (TC) a solicitud formulada por la Gerencia de Innovación y Transformación Digital (a través de nuestra Gerencia General) con la formalización para extender la permanencia del CDR BN San Isidro más allá de la fecha límite (05.10.2026). de acuerdo a la respuesta se continuarán con las atividades pendientes como la aprobación de la Solicitud de Cambio (actualización de fechas del Cronograma), la instalación del Comité de Concurso de Méritos y la aprobación de Bases Administrativas por parte del Comité de Concurso de Méritos a fin de dar continuidad al proceso logístico , también que la Gerencia de Tecnologías de Información remita – a la Gerencia de Riesgos – la Matriz de Riesgos (formato firmado) para su elevación al Comité de Riesgos.
31/12/2024: El proyecto se encuentra a la espera de la respuesta del Tribunal Constitucional para que indiquen si el tiempo de permanencia del centro de datos se aplaza o no.
13/12/2024:  El avance de las actividades pendientes es el siguiente: Proforma de Contrato: EN PROCESO (Gerencia Legal), Control de Cambios del Proyecto: EN PROCESO (Gerencia de Administración y Logística)
Matriz de Riesgos: EN PROCESO (Gerencia de Riesgos y Gerencia de Tecnologías de Información)
08/11/2024: El avance de las actividades pendientes es el siguiente: Estudio de mercado culminado: 100%,  Informe (Estudio) Viabilidad Económico Financiero: EN PROCESO. 
El 23.10.2024, mediante el Memorándum N° 0132-2024-BN/2570, el Equipo solicitó Control de Cambio a la Gerencia de Planeamiento para la actualización de fechas del Cronograma.
se encuentra en proceso de evaluación de la disponibilidad de recursos presupuestales dentro de la Gerencia, a fin de solicitar  a la Gerencia de Finanzas y Tesorería emita la Cobertura de Recursos Presupuestales 
26/09/2024: En proceso de estudio de mercado: 95%, El Equipo Técnico está a la espera de la culminación del estudio de mercado a fin de continuar con los trámites administrativos requeridos.
12/08/2024: Actualmente se encuentra en etapa de Estudio de Mercado, excepto otros proveedores remitan nuevo portafolio de consultas y/o se vea necesario actualizar TDRs producto de la evaluación de Riesgos.
27/06/24 Se regulariza su registro en la demanda por ser un Proyecto Estratégico del Banco.</t>
  </si>
  <si>
    <t>2024-T0456</t>
  </si>
  <si>
    <t>2024-M0396</t>
  </si>
  <si>
    <t>SENTINEL: Mejoras Extractor Transacciones Canales SAW-ATM-POS-MCA</t>
  </si>
  <si>
    <t>Mejoras Extractor Transacciones Canales SAW-ATM-POS-MCA – Entregable 7</t>
  </si>
  <si>
    <t>Manuel Horna-Indra</t>
  </si>
  <si>
    <t>01/08/2024 Se registro en el Backlog, se creo el tramite Documentario y se Registro en la Demanda Estrategica. Requerimiento corresponde al entregable 7 de Sentinel.</t>
  </si>
  <si>
    <t>2024-T0470</t>
  </si>
  <si>
    <t>2024-M0410</t>
  </si>
  <si>
    <t>Adecuación de proceso de extracción de datos para PLAYFT (data complementaria)</t>
  </si>
  <si>
    <t>Mejorar y optimizar los archivos extractores de tablas complementarias para cuentas, tarjetas y clientes.</t>
  </si>
  <si>
    <t>5/12/2024: Según CQ, se actualizó el estado de 01. Registrado a 05. En Calidad
09/08/2024:  Se registró en el Backlog de requerimientos. Requerimiento corresponde al entregable 7 de Sentinel.</t>
  </si>
  <si>
    <t>2024-T0486</t>
  </si>
  <si>
    <t>2024-M0428</t>
  </si>
  <si>
    <t>MC: Sentinel: Mejoras Extractor Transacciones Canales SAW</t>
  </si>
  <si>
    <t>SENTINEL: Mejoras Extractor Transacciones Canales SAW</t>
  </si>
  <si>
    <t>03/09/24: Según CQ, actualizó el estado a 02. En Planificación
29/08/2024:  Se registró en el Backlog de requerimientos.</t>
  </si>
  <si>
    <t>2024-T0487</t>
  </si>
  <si>
    <t>2024-M0429</t>
  </si>
  <si>
    <t>MC: Sentinel: Mejoras Extractor Transacciones Canales ATM</t>
  </si>
  <si>
    <t>SENTINEL: Mejoras Extractor Transacciones Canales ATM</t>
  </si>
  <si>
    <t>2024-T0534</t>
  </si>
  <si>
    <t>2024-M0475</t>
  </si>
  <si>
    <t>Nuevo código de respuesta para intérprete Real Time – Entregable 10</t>
  </si>
  <si>
    <t>Implementar el 9000 como código de respuesta para la denegación de Sentinel para Banca Móvil, Banca por Internet y Banca Celular, con el sgte mensaje: “Su operación fue denegada. Comunícate al 0800-10700 o al 01-4405305/01-4424470 para mas información-Banco de la Nación”</t>
  </si>
  <si>
    <t>MEMORANDO N° 00000017 - 2024-BN2212</t>
  </si>
  <si>
    <t>Mónica García</t>
  </si>
  <si>
    <t>Descartado</t>
  </si>
  <si>
    <t>05/09/2024:  Se registró en el Backlog de requerimientos. 21/08 Refiere a nuevo desarrollo para el entregable 10 de Sentinel.</t>
  </si>
  <si>
    <t>MEMORANDO N° 00000135 - 2024-BN/8400</t>
  </si>
  <si>
    <t xml:space="preserve">Tarjeta de Crédito </t>
  </si>
  <si>
    <t>Tarjeta de Crédito</t>
  </si>
  <si>
    <t>Junior Quicaño</t>
  </si>
  <si>
    <t>SITC – Tarjeta de Crédito</t>
  </si>
  <si>
    <t>Izipay / MEF / Mastecard / Bevertec</t>
  </si>
  <si>
    <t>Fiorella Galvan</t>
  </si>
  <si>
    <t>08. Producción Finalizada</t>
  </si>
  <si>
    <t>30/12/2025: Según el acta de reunión del comité de proyectos, se debe reiterar al MEF la conformidad del diseño de las tarjetas, a fin de cumplir con las fechas propuestas actualizadas.
05/09/2025: Las actividades del Piloto Controlado, se realizarán después del 16 de Setiembre. El área usuaria no ha remitido los anexos 2 para levantar las observaciones de los reportes Operativos Contables.
25/07/2025: Se realizaron las actividades de despliegue en producción, el área usuaria viene realizando las validaciones correspondientes con los equipos de BN y MEF. Se ha coordinado reaunadar las actividades del piloto controlado en Producción la primera semana del mes de Agosto.
17/07/2025: Está en proceso de despliegue de la Fase IV en el ambiente de Producción.
Las observaciones que se presenten durante el piloto y/o pendientes se atenderán inmediatamente.
11/06/2025:Según la información enviada de Planeamiento en el mes de Mayo se precisa lo siguiente:
La demora en el pase a Producción Fase IV está afectando la fase de marcha blanca. Además, la reciente solicitud de especificar los procesos contables podría obligar a un control de cambios en mayo para ajustar el plan original del proyecto.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07/05/2025: Según la información remitida por Planeamiento mediante correo: Se han completado 5 de los 10 entregables. A pesar de los retrasos de Izipay, las pruebas en POS comenzarán en abril. El equipo de Desarrollo del BN trabaja para cumplir los plazos y completar los entregables restantes.
31/12/2024: Ciclos de pruebas en marcha (379 Ok / 617 Total). Se esta coordinando y resolviendo día a día con proveedor y TI. A la par ya culminaron con remitir solicitud de cambio y cronograma de actividades para que sea aprobado por el comité.
13/05/2024 A la espera del Anexo 1 para poder incorporar el proyecto a la Demanda Estratégica
25/04/2024 Mediante Memo N° 63-2024-BN2810 en que se entrega la nueva lista de proyectos con componente TI se crea el proyecto en base de datos y se asigna el Lider usuario al proyecto, anteriormente no existia .
03/06/2025: Según la información enviada de Planeamiento mediante correo respecto al proyecto en el mes de abril se tiene que: La conclusión total del servicio requiere la colaboración de las unidades orgánicas participantes. A la vez, el equipo de Desarrollo del BN trabaja en los cinco entregables finales, la certificación y el pase a producción, abordando los retrasos actuales.
21/05/2025: Según el Acta de Reunión N°04-2025 del Comité de Proyectos, se solicita a Planeamiento hacer seguimiento al proyecto y que este incluya la parte contable.
30/04/2025: La Fase III del proyecto fue desplegada a Producción, se ha creado la primera Tarjeta Guía y los equipos BN y MEF, dieron inicio al piloto con el Kick Off a 4 entidades, Promperú, SUNAT, MEF y Relaciones Exteriores. Estamos realizando el ciclo de pruebas Fase IV en ambiente de Certificación, donde se ha incorporado principalmente pruebas en comercios y canales foráneos, por lo que estimamos culminar esta fase de pruebas en el mes de junio 2025.  
31/03/25: La Fase III del proyecto fue desplegada a Producción, se ha creado la primera Tarjeta Guía y el área usuaria está coordinado con el MEF, el inicio del piloto con 4 entidades (Promperú, SUNAT, MEF y Relaciones Exteriores). Estamos realizando el segundo ciclo de pruebas Fase IV en ambiente de Certificación, donde se está incorporando pruebas en comercios y canales foráneos, por lo que estimamos culminar las pruebas en Certificación en abril para el Inicio del Piloto Integral en abril 2025. 
21/03/25: Mediante correo del 21/03/25 de Planeamiento se indica:
Se culminó con la 3ra. fase de certificación, iniciando la 4ta. y ultima fase (entregable N° 6). Se culminará la fabricación del material de difusión durante el mes de marzo.
28/02/2025 1.	Proyecto Tarjeta Tesoro:  Nos encontramos realizado el Piloto de la Fase III en Producción.Iniciamos el Piloto Controlado, se ha creado la primera Tarjeta Guía en Producción, se solicitó el Emboce de la Tarjeta Guía y procederemos a la verificación de Canales.En paralelo, el equipo de Calidad está realizando el segundo ciclo de pruebas Fase IV, donde se está incorporando comercios y canales Foráneos. Alcance Módulo Administrativo: Afiliar entidades y Representantes, Actualizar, Consultar Afiliados y desafiliados, representantes y usuarios autorizados de las entidades habilitadas para solicitar tarjetas. 
Alcance Módulo Operativo: Solicitud de tarjetas, habilitación de la Línea de crédito, asignaciones, Reporte de las transacciones con los servicios WEB, Agentes, ATM y Ventanilla.
Duración del Piloto Controlado Canales BN Marzo 2025.
Inicio del Piloto Integral Abril 2025.
28/01/25: Se encuentra realizando pruebas en Calidad y en coordinaciones constantes con Izipay, con un avance de 70%.
31/12/24: Ciclos de pruebas en marcha (379 Ok / 617 Total). Se esta coordinando y resolviendo día a día con proveedor y TI. A la par ya culminaron con remitir solicitud de cambio y cronograma de actividades para que sea aprobado por el comité.
13/12/2024 El Proyecto se está certificando, se remitió nuevo cronograma con las nuevas fechas de implementación.
19/11/2024 Se aprobó un nuevo cronograma con fecha de incio del Piloto para Enero 2025. El proyecto se encuentra a un 74% de avance segun cronograma actualizado al 07 de Noviembre.
12/08/2024 Avance del Proyecto segun cronograma.
27/06/2024 Seregulariza su ingreso a la demanda estratégica.</t>
  </si>
  <si>
    <t>2024-T0596</t>
  </si>
  <si>
    <t>2024-M0524</t>
  </si>
  <si>
    <t>Transferencia Interbancaria Inmediata y de Cta. DNI a Cta. BN / Transacciones de Cargo y Abono DNI</t>
  </si>
  <si>
    <t>El Banco de la Nación requiere incluir en Cuenta DNI la funcionalidad de Transferencias Interbancarias Inmediatas de entrada y de salida</t>
  </si>
  <si>
    <t>MEMORANDO N° 00000136 - 2024-BN/7901</t>
  </si>
  <si>
    <t>02/10/2024:  Se registró en el Backlog de requerimientos.</t>
  </si>
  <si>
    <t>2023-T0499</t>
  </si>
  <si>
    <t>2023-P0446</t>
  </si>
  <si>
    <t>Integración Lavado de Activos con Sentinel - FASE 2 – (Funcional: Sentinel Core, Reporter y Relations) -Entregable7</t>
  </si>
  <si>
    <t>Validar la funcionalidad de las reglas, modelos, y otros de Oplaft en Sentinel Core, Reporter. Ademas probar funcionalidad de Relations como de los pendiente de la fase 1.</t>
  </si>
  <si>
    <t>06/11/24: Se registró en el Backlog</t>
  </si>
  <si>
    <t>2024-T0671</t>
  </si>
  <si>
    <t>2024-M0599</t>
  </si>
  <si>
    <t>Integración Lavado de Activos con Sentinel - FASE 3 – (Producto, Funcional y Perfiles de Predictions) -Entregable7</t>
  </si>
  <si>
    <t>Validar los modelos predicitivos, ademas los pendientes de la fase 1 y 2.</t>
  </si>
  <si>
    <t>Rec. 7b
Rec. 11a
Rec. 11b
Rec. 11c</t>
  </si>
  <si>
    <t>2024-T0724</t>
  </si>
  <si>
    <t>2024-M0647</t>
  </si>
  <si>
    <t>ME: Retiro y Depósito de Cuenta DNI en Agentes Corresponsales</t>
  </si>
  <si>
    <t>Definir el proceso de Retiro y Depósito realizado por clientes de Cuenta DNI en el canal Agentes Corresponsales</t>
  </si>
  <si>
    <t>MEMORANDO N° 00000152 -
2024-BN/7901</t>
  </si>
  <si>
    <t>Cajeros Corresponsales</t>
  </si>
  <si>
    <t>03/12/2024: Se registró en el Backlog y se creó el trámite.</t>
  </si>
  <si>
    <t>Por Generar</t>
  </si>
  <si>
    <t xml:space="preserve">MEMORANDO N° 00000159 - 2024-BN/3100 </t>
  </si>
  <si>
    <t>SRPA-Sist Automatización Robótica de Procesos</t>
  </si>
  <si>
    <t xml:space="preserve">06/10/25: Paquete 1: 2024-P0630 paso a producción en enero 2025. 
Paquete 2: Los mantenimientos 2025-M0166, 2025-M03192025-M0321 se certificaron el 02.10, el mantenimiento 2025-M0320 se certificó el 03.10. Se planifico el despliegue para la 3era semana de octubre
Paquete 3: Se encuentra en Desarrollo. 
Está pendiente que el usuario gestione la ampliación de plazo e informe a Planeamiento.
05/09/2025: 
Paquete 1: 2024-P0630 paso a producción en enero 2025. Paquete 2: Está presentando retrasos, se está realizando el 3er ciclo de pruebas en calidad de los procesos 11,12 y 17. El proceso 13 se encuentra en su 4to ciclo de pruebas. Se está planificado culminar en setiembre. 
Paquete 3: Se encuentra en Desarrollo. 
Está pendiente que el usuario gestione la ampliación de plazo e informe a Planeamiento.
25/07/2025:  Paquete 1, 2024-P0630 paso a producción en enero 2025. Paquete 2, Está presentando retrasos, se está realizando el 3er ciclo de pruebas en calidad y está planificado culminar en agosto. Paquete 3: Se encuentra en Desarrollo.
Está pendiente que el usuario gestione la ampliación e informe a Planeamiento.
17/07/2025: Paquete 1, 2024-P0630 paso a producción en enero 2025.
Paquete 2, Está presentando retrasos, se está realizando el 2do ciclo de pruebas en calidad y está planificado culminar en agosto.
Paquete 3: Se encuentra en Desarrollo.
Está pendiente la ampliación de plazo por parte del área usuaria e informar a Planeamiento.
11/06/2025:Según la información enviada de Planeamiento en el mes de Mayo se precisa lo siguiente:
Los atrasos se deben a incidencias técnicas presentadas en el proceso ATM (NCR) y de Atención a Solicitudes (perfiles y accesos).
En relación a ATM´s no existe contrato vigente con NCR lo que dificulta la realización de pruebas en desarrollo.
En cuanto atención de solicitudes, seguridad informática tuvo demoras en la asignación de perfiles y accesos.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07/05/2025: Según la información remitida por Planeamiento mediante correo: A nivel proveedor se esta avanzando con el desarrollo de los 4 bots esperando que se concreto lo que se indica en el párrafo anterior.
Queda pendiente la asignación de las credenciales del journal NCR (consultas de ATM).
31/12/2024: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23/05/24 Mediante acta de comité estratégico de proyectos con fecha 06.05/24 se informa que se aprobó el control de cambios del proyecto , los usuarios deben formalizar el nuevo cronograma del proyecto y remitirlo a planeamiento. Validar que el contrato esté firmado y revisar cronograma, 1er entregable inicia el 07/06/24 (Desarrollo, QA, Producción).
03/05/2024 En proceso logístico para el otorgamiento de la Buena pro
05/04/24 Según correo remitido por MOrtiz, menciona la solicitud al área de Logística para ampliar el plazo de solución de consultas y observaciones e integración de bases del proceso de contratación.
21/03/24 Según cronograma ya estan por culminar el proceso logística. P&amp;D agendará una reunión para revisar las siguientes actividades que involucra a TI y cuando se estarían iniciando. Pendiente que el usuario remita modelo de negocio para registrar el Proyecto en la demanda estrategica priorizada.
03/06/2025: Según la información enviada de Planeamiento mediante correo respecto al proyecto en el mes de abril se tiene que: Debido a los inconvenientes técnicos con los que se cuenta en entorno de Desarrollo para los aplicativos de: Estados de cuenta de ahorro (ECAI) y contractuales con el proveedor NCR para Cajeros Automáticos, continúan los pendientes para pasar a entorno de certificación 2 de los 4 procesos que contempla el paquete número 02 (entregable 02).
30/04/25: Del Paquete 1 Se cerro pase 2024-P0630 en el Clear Quest. 
Del Paquete 2 Se está presentando retrasos, aún se encuentra en Desarrollo y el área usuaria ha solicitado dividir los requerimientos a fin de pasar a Certificación los que ya se encuentre finalizados en desarrollo. La fecha que debió estar en PRODUCCION es el 21/04.
Del paquete 3: El área usuaria ha solicitado el registro de los nuevos roles para avanzar con la automatización de los demás procesos.
31/03/25: Se emitió el MEMORANDO N° 00000016 - 2025-BN/2550 con el Informe 0004-2025-2550 correspondiente a la ejecución de los Entregables 1, 2 y 3 de la PRESTACION PRINCIPAL para el 1er pago. 
Del Paquete 1 que se pasó a Producción aún está pendiente el Cierre del pase en el Clear Quest.
Del Paquete 2 Ambiente Desarrollo. Se está presentando retrasos:
Proceso 11: Atención de solicitudes Reportaron que no había data en el STD, se explicó que debido a que la cuenta es nueva no tendría asignado ningún trámite y que lo mismo pasara en Producción, es decir cuando se cree la cuenta del Robot, posterior a ello podría visualizar tramites cuando se le derive o copie. También reportador que la versión en Desarrollo (v6) y el contratista tenía mapeado la versión (v5), Se explico que la versión actual es la V6, sin embargo, las opciones a los cuales ingresan es el mismo y no había cambiado. Proceso 12: Información ATM: Se estaba presentando incidentes en OnDemand y se indicó que deben de ejecutar a través del Internet Explorer. Pendiente las credenciales para NCR, se solicitó la generación en Certificación que se ejecutaría en el ambiente de Desarrollo. Proceso 13: Agentes Corresponsales. Para la 2da semana de abril ya estarían iniciando las pruebas con Usuario. Proceso 17: Certificados Depósitos Judiciales, expusieron que por la demora en las credenciales para la sesión de emulación se estaba retrasando. Se indico que utilizaran la cuenta de la sesión que usaron en las pruebas del 1er paquete.
21/03/25: Mediante correo del 21/03/25 de Planeamiento se indica:
Ya se encuentra en producción el 100% del primer paquete de procesos.
Ya se inicio el desarrollo del segundo entregable, con un avance del 25% (perfiles , accesos y seguridad). Por parte del contratista esta en proceso el levantamiento de información.
28/02/2025: Del paquete 1 (en producción). Para el proceso 1:  El área usuaria había solicitado el ROL para la Gerencia de Operaciones el cual género que no se visualicen las tareas realizadas por el Robot y solicitaron la modificación del Rol hacia la Secc.  Administración de Cuentas y Pagaduría. El proceso 8: El área usuaria reporto inconsistencia y luego solicitaron la reinstalación del Office el cual ya había sido realizado. A la espera que vuelvan a validar los 2 procesos.
17/02/2025 Se generaron las cuentas de para los Procesos 1 , 8 y el area usuaria indico los horarios para programar su ejecución en el ambiente de Producción e indico que el proceso 10 pasará a modo stand by. 
31/01/2025 Está pendiente la generación de las cuentas de acceso de los Bots. En reunión con el área usuaria y se revisó la matriz aplicativos por procesos correspondiente al paquete 2 (4 procesos que se automatizaran) de los que se indicó que se aclaren donde se indica Host Emulación y no está el nombre de la aplicación y sobre la creación de carpetas compartidas ya que actualmente no se puede solicitar la creación de carpetas.
28/01/2025: Se certifico el primer paquete de automatizaciones de los 3 procesos el 24/01/. Se registrará en la demanda 2 requerimientos adicionales para atender otros 2 paquetes que comprenden (4 procesos y 3 procesos)
31/12/24: Referente a RPA, el avance del primer entregable es de un 90%, se viene gestionando la certificación de los 3 procesos mencionados pertenecientes al primer paquete.
No se contó con los requerimientos técnicos dentro de los plazos (TI) para cumplir con el hito 1 : instalación y configuración de la plataforma RPA. Por ello se presentara un control de cambios a fin de corregir y alinear el cronograma.
16/12/24: Se registró en el Backlog
22/07/25: El dia de ayer se tuvo la reunion con el Proveedor para definir el perfil de accesos de la Plataforma del RPA y el dia de hoy Certificacion comenzo a validar que cada perfil de Accesos, de completar esta actividad, Certificacion solictra la validacion a traves del ISIM y con ello tener el acta de las pruebas de integracion del RPA con ISIM. Esta pendiente terminar las pruebas de las Alertas. De acuerdo a lo indicadp por Certificación ya tienen 2 actas firmadas de 2 de los bots, mañana tendran del 3er bot </t>
  </si>
  <si>
    <t>Implementación de integración entre Software Globalsuite, Oracle e Ivanti (IVANTI)</t>
  </si>
  <si>
    <t>Iimplementar el flujo en Oracle e Ivanti para poder integrar con el software de Globalsuite</t>
  </si>
  <si>
    <t>Reene Galvez</t>
  </si>
  <si>
    <t>SGIR - Sistema Gestión Integral de Riesgos</t>
  </si>
  <si>
    <t>Telefónica</t>
  </si>
  <si>
    <t>05/09/2025: Se descarta el requerimiento, debido a que la integración será trabajado en el ID 2292.
13/02/25 En proceso de atención por el proveedor.
16//12/24 Se registro en el Backlog</t>
  </si>
  <si>
    <t>2024-T0762</t>
  </si>
  <si>
    <t>2024-M0675</t>
  </si>
  <si>
    <t>Modificación de transacciones que tendrán interfase en el Sentinel RT - NRT</t>
  </si>
  <si>
    <t>MODIFICACION DE TRANSACCIONES QUE TENDRAN INTERFASE EN EL SENTINEL RT . NRT</t>
  </si>
  <si>
    <t>27/12/2024: Se registró en el Backlog como trámite Regularizado</t>
  </si>
  <si>
    <t>2025-T0071</t>
  </si>
  <si>
    <t>2025-M0074</t>
  </si>
  <si>
    <t>Depósito y retiro en ventanilla para Cuentas DNI</t>
  </si>
  <si>
    <t>Habilitar un nuevo canal para atención de operaciones en Cuenta DNI</t>
  </si>
  <si>
    <t>MEMORANDO N° 00000006 - 2025-BN/7901</t>
  </si>
  <si>
    <t>Rechazado</t>
  </si>
  <si>
    <t>18/02/25: Se revisó con el equipo de construcción y se aprobó su formalización por Comité de Demanda
23/01/2025: Se registró en el Backlog, se creó trámite y se priorizó.</t>
  </si>
  <si>
    <t>2025-T0068</t>
  </si>
  <si>
    <t>2025-M0071</t>
  </si>
  <si>
    <t>Transferencias interbancarias inmediatas en la Aplicación móvil de Cuenta DNI</t>
  </si>
  <si>
    <t>Implementación de la funcionalidad de transferencias interbancarias inmediatas en la aplicación móvil Cuenta DNI (iOS y Android). Esta mejora permitirá a los usuarios realizar transferencias rápidas y seguras a cuentas de otros bancos, facilitando movimientos de dinero sin necesidad de retirar efectivo y promoviendo la bancarización efectiva e inclusión financiera.</t>
  </si>
  <si>
    <t>MEMORANDO N° 00000006 - 2025-BN7901</t>
  </si>
  <si>
    <t>23/01/2025: Se registró en el Backlog y se creó trámite. Es requerimiento hijo de ID 2056.</t>
  </si>
  <si>
    <t>2025-T0069</t>
  </si>
  <si>
    <t>2025-M0072</t>
  </si>
  <si>
    <t>Transferencias Interbancarias inmediatas a Celular (búsqueda de contactos) y con código QR en la Aplicación móvil de Cuenta DNI</t>
  </si>
  <si>
    <t>Implementación de la funcionalidad de transferencias interbancarias inmediatas en la aplicación móvil Cuenta DNI (iOS y Android), mediante la búsqueda de contactos del celular y el uso de códigos QR. Esta mejora permitirá a los usuarios realizar transferencias de dinero a cuentas de otros bancos de forma rápida, segura y sin necesidad de retirar efectivo, promoviendo el uso de la Cuenta DNI y fomentando la inclusión financiera.</t>
  </si>
  <si>
    <t>2025-T0070</t>
  </si>
  <si>
    <t>2025-M0073</t>
  </si>
  <si>
    <t>Transferencias Internas Cuenta DNI - Cuenta BN en la Aplicación móvil de Cuenta DNI</t>
  </si>
  <si>
    <t>Habilitación de la funcionalidad de transferencias internas entre Cuenta DNI y Cuenta BN en la aplicación móvil (iOS y Android), permitiendo movimientos de dinero rápidos y seguros sin necesidad de efectivo, promoviendo el uso de la Cuenta DNI y fomentando la inclusión financiera.</t>
  </si>
  <si>
    <t>2025-T0086</t>
  </si>
  <si>
    <t>2025-M0372</t>
  </si>
  <si>
    <t>Integración del Orquestador de Novatronic con el Core de Cuenta DNI par transferencias inmediatas a otros Bancos.</t>
  </si>
  <si>
    <t>Se requiere la integración del Orquestador de la solución actual con el Host Cuenta DNI (Temenos) para operar las transacciones de transferencias interbancarias con la CCE.</t>
  </si>
  <si>
    <t>MEMORANDO N° 00000017 - 2025-BN/3116</t>
  </si>
  <si>
    <t>En Pruebas en Desarrollo, pase a Calidad la primera semana de marzo.
29/01/25 Se requiere su registro en el Backlog y en la Demanda Estratégica, por ser parte del proyecto Cuenta DNI- Nuevas Funcionalidades. RQ hijo 2056 30/01/2025: Se registró en el Backlog y se creó trámite.</t>
  </si>
  <si>
    <t>2025-T0092</t>
  </si>
  <si>
    <t>2025-M0167</t>
  </si>
  <si>
    <t>Implementación del Proyecto de Robotización (RPA) - Paquete 3</t>
  </si>
  <si>
    <t>Implementar 3 procesos para automatizar 3 procesos (RPA)</t>
  </si>
  <si>
    <t>24/01/25 Se registra el paquete 3 como parte de la implementación del Proyecto de Robotización.</t>
  </si>
  <si>
    <t>2025-T0008</t>
  </si>
  <si>
    <t>2025-M0008</t>
  </si>
  <si>
    <t>Transferencias Inmediatas de Cuentas DNI a Cuenta BN</t>
  </si>
  <si>
    <t>Se solicita Implementar funcionalidades para transferir dienro de una Cuenta DNI (Core Cuenta DNI) a una cuenta de ahorros BN (ref TRX 1770) y su correspondiente extorno.</t>
  </si>
  <si>
    <t>17/02/2025: Se registró en el Backlog como trámite Rugularizado. Es requerimiento hijo de 2056.</t>
  </si>
  <si>
    <t>2025-T0010</t>
  </si>
  <si>
    <t>2025-M0010</t>
  </si>
  <si>
    <t>MC : SENTINEL – Extractores Históricos – DPAH</t>
  </si>
  <si>
    <t>Para tener completos los extractores de transacciones de Emulación/Batch y además generar extractores, basados en los anteriores, pero para que obtengan información histórica de 5 años atrás hacia adelante.</t>
  </si>
  <si>
    <t>Norma Fukunaga</t>
  </si>
  <si>
    <t>2025-I</t>
  </si>
  <si>
    <t>Transitorio_Regularizado</t>
  </si>
  <si>
    <t>17/02/2025: Se registró en el Backlog como trámite Es requerimiento hijo de 2487.</t>
  </si>
  <si>
    <t>2025-T0013</t>
  </si>
  <si>
    <t>2025-M0012</t>
  </si>
  <si>
    <t>MC: SENTINEL_Trxs_Emulacion_Batch_Históricos_CRMY</t>
  </si>
  <si>
    <t>2025-T0016</t>
  </si>
  <si>
    <t>2025-M0015</t>
  </si>
  <si>
    <t>MC: SENTINEL_Trxs_Emulacion_Batch_Históricos_CRHP</t>
  </si>
  <si>
    <t>Javier Urquiaga</t>
  </si>
  <si>
    <t>2025-T0017</t>
  </si>
  <si>
    <t>2025-M0016</t>
  </si>
  <si>
    <t>MC: SENTINEL_Trxs_Emulacion_Batch_Históricos_DEJA</t>
  </si>
  <si>
    <t>Wilfredo Villareal</t>
  </si>
  <si>
    <t>MEMORANDO N° 00000025 - 2025-BN7901</t>
  </si>
  <si>
    <t>Banca Móvil (APP)</t>
  </si>
  <si>
    <t>SIUC -Sistema de Información Única de Clientes</t>
  </si>
  <si>
    <t>BN</t>
  </si>
  <si>
    <t>Johnny Rocca; Emerson Quecara</t>
  </si>
  <si>
    <t>06/10/2025: El pase de Apertura en línea 2024-M0098 paso a producción en setiembre 2025. El pase Apertura masiva Batch: 2024-M0218 paso a producción en setiembre 2025. La Tabla de Control 2024-M0465 Certificado en julio y la Mejora de la Tabla de Control:  2025-M0523 Certificado en setiembre. Pase a Producción en octubre.
El Tarifario 2025-M0308 se encuentra en pruebas en Calidad de los canales WEB, Ventanilla, APP, ATM, se certificará el 17/10. Debido a que se priorizo el pase del nuevo tarifario en el canal de Agente corresponsales, posterior a este despliegue se continuará con la implementación del cobro de comisiones en Cuenta Digital para este canal. Tarifario Agente se tiene como compromiso iniciar el 6/10/ y finalizar 28/11.
Está pendiente que el usuario gestione la ampliación de plazo e informe a Planeamiento.
05/09/2025: El pase de Apertura en línea se desplego en Producción. Pendiente la regularización del estado del pase. El pase Apertura masiva Batch: Certificado el 01/09. El Tarifario se encuentra en pruebas en Calidad de los canales WEB, Ventanilla, APP, ATM. La Tabla de Control Certificado el 14/07. La Mejora de la Tabla de Control: En Desarrollo.  Está pasando a Certificación la 1era semana de Setiembre.
Debido a que se priorizo el pase del nuevo tarifario en el canal de Agente corresponsales, posterior a este despliegue se continuará con la implementación del cobro de comisiones en Cuenta Digital para este canal.
25/07/2025: El pase de Apertura en línea se desplego en Producción. Pendiente la regularización del estado del pase. El pase Apertura masiva Batch paso a Certificación para su atención. El Tarifario se encuentra en pruebas en Desarrollo los canales WEB, Ventanilla, APP y se encuentran en proceso de desarrollo los canales ATM y Agentes. La Tabla de Control se encuentra Certificado. 
17/07/2025: El pase de Apertura en línea se desplego en Producción. Pendiente la regularización del estado del pase. El pase Apertura masiva Batch según lo informado por desarrollo estarían pasando a Certificación la 4ta semana de julio. El Tarifario se encuentra en pruebas en Desarrollo los canales WEB, Ventanilla, APP y se encuentran en proceso de desarrollo los canales ATM y Agentes. La Tabla de Control se encuentra Certificado.
11/06/2025:Según la información enviada de Planeamiento en el mes de Mayo se precisa lo siguiente:
Realizando pruebas de proceso de apertura masiva Batch de Cuentas Digitales BN (Código 2024-M0218) en el ambiente de certificación.
En relación al entregable “Tabla de Control de Calidad” (Código 2024-M0465), este también se encuentra en pruebas dentro del entorno de certificación.
Se concluyó la definición de estrategia de migración, realizado por la Gerencia de Operaciones, Banca Digital y la Subgerencia de Construcción de Aplicaciones.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07/05/2025: Según la información remitida por Planeamiento mediante correo: A nivel tareas, actualmente se encuentra en la Etapa de Implementación del Proyecto. 
Continúan las pruebas en desarrollo con la participación de los usuario (Secc. Apertura de Cuentas)  y la fabrica de SW del BN, encargada de los desarrollo, para el componente  2024-M0098 - Adecuación proceso de apertura de cta. DNI en Linea (individual y masivo ), actividad que presenta atraso y perjudica el avance de otras actividades (pruebas en canales).
Las pruebas con los canales de atención se encuentra en pausa, hasta que 
Continúan las pruebas en desarrollo con la participación de los usuario (Secc. Apertura de Cuentas)  y la fabrica de SW del BN, encargada de los desarrollo, para el componente 2024-M0218-Apertura masiva batch.
Se viene coordinando las actividades previas para iniciar la pruebas en certificación, como es la carga inicial de los DNI's, para el componente 2024-M0465-Tabla de Control.
03/02/2025 Este proyecto tiene los mantenimientos:
2024-M0098: Adecuación Proceso de Apertura de CTA DNI en Linea (individualy masivo) y funcionamiento en canales de atencion: Se encuentra en pruebas con usuario Ambiente de Desarrollo
2024-M0218: Apertura Masiva batch: Se encuentra en pruebas con usuario Ambiente Desarrollo
2024-M0645: Tabla de Control: El 05/02 Inician las pruebas con usuario Ambiente Desarrollo.
31/01/25: Aprobado en comité de Dic24. Se encuentra en
proceso de Desarrollo.
03/06/2025: Según la información enviada de Planeamiento mediante correo respecto al proyecto en el mes de abril se tiene que: Se logró concluir con las pruebas en ambiente de desarrollo para el proceso de apertura de Cta. Digital BN en Línea (individual y masivo - 2024-M0098). Se han realizado las reuniones de entendimiento con la Sección Control de Calidad, Sección Sistemas Bancarios y la Sección Arquitectura de Datos y Aplicaciones. Se encuentra en proceso las pruebas en ambiente de certificación con el apoyo del área usuaria Sección Apertura de Cuentas.
Se concluyó las pruebas en ambiente de desarrollo para el proceso de Apertura masiva batch de Cta. Digital BN (2024-M0218), se encuentra en proceso las reuniones de entendimiento con la Sección Calidad para iniciar las pruebas en ambiente de certificación.
La Sección Control de Calidad realizó observaciones al proceso Tabla de Control calidad (2024-M0465), las mismas que fueron revisada y subsanadas por  la l Sección Servicios Bancarios. Se están preparando para indicar las pruebas en certificación
Se establecieron los lineamientos para la estrategia de migración, en conjunto la Gerencia de Operaciones, banca Digital y la Subgerencia de Construcción de Aplicaciones.
30/04/2025 El pase de Apertura en línea paso a Certificación el 15.04 (fecha planificada 06.05). Están realizando el despliegue y elaborando los casos de prueba. El pase Apertura masiva Batch según lo informado por desarrollo deberá de pasar posterior al pase de apertura en línea. El 25/04 se tuvo reunión con Finanzas a fin de realizar consultas acerca del Tarifario para Cuenta Digital y el 29/04 Finanzas confirmo la actualización del tarifario en Desarrollo y se dio el inicio a las pruebas unitaria. Paso a Certificación el mantenimiento de Tabla de Control el 30/04. 
31/03/2025:Para la Tabla de Control se solicitó al área usuaria los DNIs para la carga inicial, con ello Calidad podrá iniciar las pruebas.
Se implemento los requerimientos solicitados por el área usuaria y ya encuentra en pruebas de usuario en el ambiente de Desarrollo para la Apertura de cuenta en Línea y se encuentra cerrando los el desarrollo de los requerimientos para Aperturas de cuentas en Batch. Cabe indicar que debido a pase PARTIDOS POLITICOS (2024-M0550 MN: Apertura de Cuentas Corrientes Partidos Políticos) se priorizo este pase el cual afecto la implementación de los requerimientos solicitados
21/03/25: Mediante correo del 21/03/25 de Planeamiento se indica:
La primera semana de febrero de aprobó el Tarifario para Cuenta Digital BN trabajada en conjunto con la Subgerencia de Estudios Económicos y Financieros | Gerencia Finanzas y Tesorería; así mismo trasladó Oficina de proyecto de TI para el registro correspondiente e inicio de su inclusión en la construcción Cuenta Digital BN.
28/02/25: El usuario realizo la prueba en el ambiente de desarrollo de la Tabla de Control y dio su conformidad. El área usuaria solicito nuevos requerimientos funcionales que serán asociados a los requerimientos de Apertura de cuentas en Línea y Apertura de cuentas Batch
28/02/2025: Se registró el Proyecto Cuenta Digital en el Portafolio de Demanda Estratégica.
28/02/25: Se registra el Proyecto Cuenta Digital BN en el Backlog.</t>
  </si>
  <si>
    <t>MEMORANDO N° 00000007 - 2025 BN/3191</t>
  </si>
  <si>
    <t>Administrativo</t>
  </si>
  <si>
    <t xml:space="preserve">Cuenta Corriente </t>
  </si>
  <si>
    <t>Pedro Peña</t>
  </si>
  <si>
    <t>SICT - Sistema de Información de Cuentas Corrientes</t>
  </si>
  <si>
    <t>Sistemas Bancarios; Soluciones Digitales</t>
  </si>
  <si>
    <t>Novatronic</t>
  </si>
  <si>
    <t>Ricardo Cuba; Emerson Queccara; Mario Carbajo; Norma Fukunaga</t>
  </si>
  <si>
    <t>2026-III</t>
  </si>
  <si>
    <t xml:space="preserve">01/12/2025:
El proyecto se dividio en dos Fases, Fase I - Sistema SIAF del MEF - BCRP/LBTR (Fecha Fin 30-01-2026), Fase II Sistema SIAF del MEF - Operaciones de Pagaduría del Estado MEF-SIAF y SUNAT – Servicios Adicionales  (Fecha Fin 14-08-2026)
El proyecto se encuentra en la etapa de Pruebas en Desarrollo (Fase I), previo al pase de pruebas en ambiente de Certificacion.
Las pruebas en el ambiente de Certificacion debieron comenzar el 03 de Noviembre del 2025, por lo tanto el proyecto con fecha de corte al 4 de Diciembre,se encuentra retrasado en un mes calendario.
Esta pendiente para concluir en esta fase : 
- Actualizacion de documentacion requerida por el area de Control de Calidad, acerca de procedimientos en la Guias de Implantacion y formatos requeridos conforme a procedimientos del Banco
- Resolucion de pruebas de vulnerabilidades, coordinacion de cuentas principal e integradora, perfiles de acceso, integracion con ISIM
- Documentacion Guia para la Creacion de un nuevo CICS para el ambiente de Certifcacion
Se esta realizando acciones y reuniones que permitan
- Alinear con control de calidad los entregables pendientes, cerrar las observaciones de seguridad,y asegurar la disponibilidad del ambiente de Certificacion y gestionar algun bloqueo en las tareas
En cuanto al cronograma, se espera recuperar la desviacion identificada de 3% y normalizar los plazos comprometidos, priorizando actividades, acelerando validaciones en certificacion, y aumentando la frecuencia del seguimiento al proyecto
07/10/2025: Se está realizando pruebas en Desarrollo y se tiene planificado culminar en octubre. Las pruebas en el ambiente de Certificación inician en noviembre y finaliza el 16.01.2026. 
Está pendiente que el usuario gestione la ampliación de plazo e informe a Planeamiento.
05/09/2025: Con fecha 14 de agosto de 2025 se remitió al área usuaria los nuevos plazos considerando los adicionales como las mejoras con LBTR, así como Contabilidad del BN. A la fecha no se ha recibido respuesta respecto a ello. 
De acuerdo a lo informado por Planeamiento el proyecto se encuentra al 82% de cumplimiento. La fecha fin del proyecto tiene planificado terminar en marzo 2026.
25/07/2025: Se ha creado un nuevo CCIS para Pagaduría que es independiente a Interoperabilidad, se están realizando pruebas internas y está pendiente la prueba integral. 
De acuerdo con el TDR la Fase I debió finalizar en Jun_2025, sin embargo, el plazo se está ampliando y se tiene planificado culminar la Fase I en Ago_2025. Pendiente la solicitud de ampliación de plazo por parte del área usuaria e informar a planeamiento.
17/07/2025: Se ha realizado pruebas internas y está pendiente la prueba integral. El equipo técnico realizo una evaluación y debido a que la solución de Pagaduría debe de soportar una sobre carga, se ha implementado un nuevo CICS idéntico a Interoperabilidad que es independiente.
De acuerdo con el TDR la Fase I debió finalizar en Jun_2025, sin embargo, el plazo se está ampliando y se tiene planificado culminar la Fase I en Ago_2025. Pendiente la solicitud de ampliación de plazo por parte del área usuaria e informar a planeamiento.
11/06/2025:Según la información enviada de Planeamiento en el mes de Mayo se precisa lo siguiente:
Nos encontramos en la etapa de Desarrollo y Construcción la fase I del proyecto de Pagaduría: Integración LBTR-SIAF-BCRP.
En relación a las pruebas de desarrollo (Desarrollo Novatronic y Banco), además se ha comprometido la participación del MEF y BCRP, lo que implica pruebas de conectividad para este mes y en el mes de junio se realizarian las  pruebas integrales entre el Banco, MEF y BCRP.
Novatronic se atraso en el desarrollo de sus interfases, para el mes de mayo ha acelerado el desarrollo de sus aplicaciones.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07/05/2025: Según la información remitida por Planeamiento mediante correo: A nivel tareas, actualmente se encuentra en la Etapa de Implementación del Proyecto.
- Se ha culminado la revisión de flujos y esquemas de la fase I (Integración SIAF-BN-LBTR), está pendiente de que TI confirme el desarrollo de la interfaz Host.
- Se ha coordinado con TI (H. Zevallos) la asignación de un recurso adicional (Nestor Acha), que apoye a E. Cárdenas con la implementación de la TXn HOST (cargo, abono, extorno, consulta) requerido por Novatronic para la integración con el SIAF; asimismo la asignación de otro recurso para el proceso de Conciliación.
- Se encuentra en la actividad de habilitación de ambiente y servidores para las pruebas funcionales de la fase I, está pendiente de que Novatronic valide la conectividad (Al mes de Abril ya se concluyo la actividad).
- Pendiente una reunión entre Novatronic y TI del BN a fin de revisar el flujo de la fase II (al mes de abril ya se concluyó la actividad).
08/04/2025: Mediante el Acta de Reuniòn 01-2025 el Comitè de Proyectos aprobò el proyecto.
17/02/25 Revisión del Flujo 1 - MEF LBTR: Se remitio la informacion solictada por Novatronic. Avance: 100% . Análisis y Diseño 50% (Novatronic) Proporcionar las EETT  de Txn del Host BN 50% Generacion de Archivos y Casos de Pruebas MEF/SUNAT - BN (Sunat no cuenta con la infor.) 50%
31/01/25: Aprobado en comité de Ene25. En reuniones
técnicas con el proveedor.
20/05/2024 Mediante correo de Jorge Lavalle se notifica laentrega de la propuesta comercial y los TDRs para su validación,se genera reunion para su revisión el 22-05.
07/05/2024 Mediante correo se hace envìo de los TDRs del proyecto.
30/04/2024 Mediante correo de Antonio Luyo se entrega el documento de las TDr s del proyecto a Martin Nicho, para luego ser remitidas a Jorge Lavalle y Marco Ortiz.
29/04/2024 Mediante correo de Jorge Lavalle se pide la validación de los TDRs del proyecto 
25/04/2024 Por correo de Martin Nicho se pide la asistencia para dar respuesta al usuario sobre los requerimientos del proyecto, se establece un orden de prioridad para la atención de los mismo: Seguridad informática, Arquitectura, Construcción y Producción. Se espera la formalización de la  inscripción del proyecto a la lista de proyectos estratégicos por Jorge Lavalle.
22/04/2024 Con correo remitido por Jorge Lavalle se pone en consideración la priorización de los TDRs, una vez teniendo los TDRs finales finaliza la revisión del contrato e inicia la formalización. Se hace llegar el contrato, propuesta y, esquema general y técnico de solución.
03/06/2025: Según la información enviada de Planeamiento mediante correo respecto al proyecto en el mes de abril se tiene que: Se ha finalizado la revisión de estructuras de interfaces de todos los flujos (para las fases I y II)
Se han realizado coordinaciones con el BCRP a fin de revisar el proceso de conciliación que realizan las entidades, asimismo mediante correo electrónico (02.05.2025) se ha solicitado a dicha entidad asegurar su participación en las pruebas de conectividad e intercambio de información para la ejecución de las pruebas preliminares a iniciarse en la segunda quincena de mayo del presente.
Con carta Nro. 005-2025 BN3100 (29.04.2025) se comunicó a la Dirección General del Tesoro Público el estado del desarrollo que viene realizando el Banco referente a la implementación del proyecto de pagaduría para la interconexión entre los sistemas transaccionales del SIAF y LBTR del BCRP; solicitando la cooperación de su equipo técnico en las pruebas de conectividad e intercambio de información para las pruebas preliminares a realizarse en la 2da quincena de mayo del 2025.
30/04/25: El 14/04 Se tuvo reunión presencial con SUNAT y se indicó que esperarían a más tardar 1 mes para que informen su participación. 
El 15/04 Se tuvo reunión con el BCRP y se informó que las pruebas preliminares iniciarían el 15.05.
Se tuvo reuniones técnicas entre el BN y Novatronic.
De acuerdo con el TdR se presenta retraso, la Fase I finaliza en Jun_2025 sin embargo por demora del MEF se amplio el plazo y se tiene planificado culminar la Fase I el Ago_2025. 
31/03/25 Se han realizado reuniones entre el BN, Novatronic y el área usuaria a fin de revisar las Especificaciones Técnicas. El área de TI a remitido correos respondiendo las consultas realizadas por el contratista. El avance de las actividades es la siguiente:
Revisión de esquemas, flujos y otros (requisito) – Novatronic – Se culmino
Habilitar los ambientes de prueba (servidores, software base, enlaces, conexiones FTP con MEF, pruebas de funcionamiento) – En proceso. Implementación - Actividades de Novatronic: análisis y diseño de las EETT, Sistema de Pagaduría (proceso de lotes), Sistema Orquestador, integración sistema LBTR (adecuaciones de interfaces), pruebas integrales – En proceso.
Implementación - Actividades del BN (Host MF): generación de archivos y casos de prueba, validación de las EETT (Host), pruebas internas, validación de archivos de conciliación, generación de archivos y pruebas internas – En proceso.
28/02/2025: El avance de las actividades es la siguiente:
El BN envió a Novatronic los archivos para la revisión del Flujo 1 (MEF-LBTR) (100%). 
Flujo 7 SUNAT (50%)
Habilitar Servidor y software base (30%)
El Análisis y Diseño - Novatronic (80%). 
Las especificaciones técnicas de las Transacciones de Host-BN (80%). 
Generación de Archivos y Casos de Pruebas (50%).
28/02/2025: Se registró en el Portafolio de Demanda Estratégica.
28/02/25 Se registra el Proyecto: Implementación del Sistema de Procesamiento de Operaciones de Pagaduría del Estado MEF-SIAF y SUNAT </t>
  </si>
  <si>
    <t>2025-T0303</t>
  </si>
  <si>
    <t>MEMORANDO N° 00000028 -2025-BN/7920</t>
  </si>
  <si>
    <t>ATMs</t>
  </si>
  <si>
    <t>No Definido</t>
  </si>
  <si>
    <t>Sección Soporte de la Infraestuctura Tecnologica</t>
  </si>
  <si>
    <t>Diebold</t>
  </si>
  <si>
    <t xml:space="preserve"> Felix Ochoa, Guisella Palacios, Ricardo Cuba; Vladimir Cajavilca</t>
  </si>
  <si>
    <t>30/12/2025:Se debe enviar a la Gerencia de Planeamiento y Control de Gestión el cronograma detallado del entregable Configuración de enero para que puedan realizar un mayor seguimiento de las actividades que involucra este entregable. Es así que la gerencia de Banca Digital señala que ya tiene el cronograma; sin embargo, se está procediendo a ser firmado por todos los participantes.                                                                                                                                                                                                                                                                                                                                                                21/03/2025: Se solicita registro en el Backlog. Se coordinará con el equipo técnico para su atención respectiva.</t>
  </si>
  <si>
    <t>2025-T0226</t>
  </si>
  <si>
    <t>2025-M0190</t>
  </si>
  <si>
    <t>Conexión para las APIS del Proyecto Cuenta DNI - Operaciones de depósito y retiro desde Ventanilla</t>
  </si>
  <si>
    <t>Implementación de la conexión entre las APIs de T24 (Temenos) y Saraweb para soportar las operaciones de depósito y retiro de Cuenta DNI desde el canal de ventanilla BN. Se desarrollarán servicios inmediatos que aseguren la comunicación eficiente entre sistemas, habilitando un canal adicional para la atención de usuarios, con el fin de mejorar la calidad del servicio y la experiencia del cliente.</t>
  </si>
  <si>
    <t>24/03/25: Se regularizó registro en Backlog</t>
  </si>
  <si>
    <t>2025-T0149</t>
  </si>
  <si>
    <t>2025-M0134</t>
  </si>
  <si>
    <t>Conexión para las APL del Proyecto Cuenta DNI - Operaciones de depósito y retiro desde el canal de ventanilla</t>
  </si>
  <si>
    <t>2024-T0712</t>
  </si>
  <si>
    <t>2024-M0637</t>
  </si>
  <si>
    <t>Desarrollo de proceso de extracción de datos para PLAYFT</t>
  </si>
  <si>
    <t>Desarrollo de un proceso de extracción de datos para el sistema PLAYFT, orientado a implementar una solución tecnológica que permita la activación automática de alertas para LA/FT y la identificación de operaciones inusuales. Además, el proceso facilitará el scoring automatizado de clientes, mejorando la detección y gestión de riesgos asociados.</t>
  </si>
  <si>
    <t>Giros</t>
  </si>
  <si>
    <t>Normativo</t>
  </si>
  <si>
    <t>24/03/25: Se regularizó registro en Backlog.</t>
  </si>
  <si>
    <t>Implementación del sistema de procesamiento de operaciones de pagaduría del estado MEF-SIAF y SUNAT – Fase 2: Servicios Adicionales</t>
  </si>
  <si>
    <t>Implementación de una nueva solución que permita ampliar y mejorar el servicio de Pagaduría a las entidades del Estado con el procesamiento de lotes autorizados por el MEF/SIAF y SUNAT, además de reducir las inconsistencias y diferencias entre los cargos a las cuentas del Estado 	Operaciones</t>
  </si>
  <si>
    <t>01. Registrado</t>
  </si>
  <si>
    <t>02/04/25 Se registra el Proyecto: FASE 2: Implementación del Sistema de Procesamiento de Operaciones de Pagaduría del Estado MEF-SIAF y SUNAT – Servicios Adicionales</t>
  </si>
  <si>
    <t xml:space="preserve">Transferencias de recursos </t>
  </si>
  <si>
    <t>MVPE - Multired Virtual para Empresas</t>
  </si>
  <si>
    <t>2025-III</t>
  </si>
  <si>
    <t>05/09/2025: Está pendiente que el área usuaria resuelva el tema del tarifario de comisiones CCE. Debido a los fraudes presentados, se está priorizando la atención de mejoras funcionales y de seguridad solicitados para un canal seguro.
05/09/2025: El MEMORANDO adjunto (N° 00000228 - 2025 - BN/3111) fue devuelto, por lo que se esta retirando su registro en la Demanda Estratégica CT. Además, el mantenimiento no se encuentra activo en Producción. El equipo de Construcción sugiere un nuevo ciclo de pruebas cuando culmine la implementación de mejoras. 
25/07/2025: El mantenimiento asociado al Proyecto, se encuentra en proceso de certificación, el compromiso es certificar el mantenimiento el mes de Agosto.
17/07/2025: Se está realizando la atención de Pago de haberes que está planificado culminar en agosto 2025
03/06/2025: Según la información enviada de Planeamiento mediante correo respecto al proyecto en el mes de abril se tiene que: A pesar de los correos enviados por el analista asigando y el subgerente de planeamiento, aún no se han presentado el cronograma ni la evaluación costo-beneficio.  La justificación es que están coordinando con el área de TI, la cual tiene sus propios plazos para atender y desarrollar esas actividades.
21/05/2025: Según el Acta de Reunión N°04-2025 del Comité de Proyectos, se llevará una reunión entre la Gerencia General, Gerencia de Operaciones y la Gerencia de TI para determinar los cambios que tendrá dicho proyecto.
30/04/25: Proyecto aprobado por el Comité Ejecutivo de proyectos, comunicado mediante acta N° 03-2025 de fecha 19 de marzo 2025. De acuerdo a lo dispuesto por Gerencia General, actualmente se viene atendiendo las incidencias de Banca Empresarial, posterior a ello se iniciará la atención de la Fase IV del proyecto.
21/04/2025 Proyecto aprobado por el Comité Ejecutivo de proyectos, comunicado mediante acta N° 03-2025 de fecha 19 de marzo 2025.</t>
  </si>
  <si>
    <t>2025-T0318</t>
  </si>
  <si>
    <t>2025-M0280</t>
  </si>
  <si>
    <t>Integración de Orquestador para Transferencia Inmediata desde Cta. DNI</t>
  </si>
  <si>
    <t xml:space="preserve">Se requiere la integración la integración para transferencias inmediatas y de cuenta DNI a la cuenta BN </t>
  </si>
  <si>
    <t>29/04/2025: Se regularizó requerimiento en el Backlog.</t>
  </si>
  <si>
    <t>2025-T0191</t>
  </si>
  <si>
    <t>2025-M0360</t>
  </si>
  <si>
    <t>Implementación del sistema de procesamiento de operaciones de pagaduría del estado MEF-SIAF – Fase 1: Integraciones</t>
  </si>
  <si>
    <t xml:space="preserve">Implementación de una nueva solución que permita ampliar y mejorar el servicio de Pagaduría a las entidades del Estado con el procesamiento de lotes autorizados por el MEF/SIAF, además de reducir las inconsistencias y diferencias entre los cargos a las cuentas del Estado </t>
  </si>
  <si>
    <t>07/05/2025: Se registró requerimiento en el Backlog. RQ Hijo de 2649</t>
  </si>
  <si>
    <t>2025-T0447</t>
  </si>
  <si>
    <t>2025-M0382</t>
  </si>
  <si>
    <t>Implementación del sistema de procesamiento de operaciones de pagaduría del estado MEF-SIAF – Fase 1: Integraciones- Pagaduría, Orquestador</t>
  </si>
  <si>
    <t>19/05/25: Se registra el FASE 1: Integraciones - Implementación de Novatronic al Backlog y se crea trámite. RQ hijo de 2649</t>
  </si>
  <si>
    <t>MEMORANDO N° 00000055 - 2025-BN/7920</t>
  </si>
  <si>
    <t>PeruApp</t>
  </si>
  <si>
    <t>2027-II</t>
  </si>
  <si>
    <t>30/12:2025: De acuerdo con el acta de reunión del comité de proyectos, se debe realizar un informe sobre el estado situacional del proyecto y la Gerencia de Banca Digital debe agendar una reunión con la gerencia de TI y el proveedor para ver posibles mejoras.
06/10/2025 Con Informe Técnico N° 00000040 - 2025-BN/2560 de fecha 06/10 TI emite respuesta sobre el entregable Despliegue del Ambiente de Certificación (QA).
El proveedor solicito 3 Certificados SSL para el ambiente de Desarrollo a través del correo electrónico y el equipo de la Oficina de Seguridad Informática solicito que remitan el certificate signing request (CSR) para que procedan a la emisión. A la fecha el proveedor aun no lo remite.
El equipo de TI viene dando el apoyo técnico a las consultar y requerimientos realizados por el Proveedor.
Está pendiente que el usuario gestione la ampliación de plazo e informar a Planeamiento.
05/09/2025: Con Informe Técnico N° 00000015 - 2025-BN/2550 de fecha 14/07 TI emite respuesta sobre el entregable: Despliegue Base para los Ambientes. 
Con Informe Técnico N° 00000032 - 2025-BN/2560 de fecha 13/08 TI emite respuesta sobre el entregable Despliegue del Ambiente de Desarrollo (DEV).
Banca Digital con Carta Nº 00000051-2025-BN/7920 de fecha 21/08 dio la conformidad Diseño UX/UI.
En reunión de seguimiento entre el Proveedor, Banca Digital y TI del 27/08 el proveedor informo el avance de la implementación:
Infraestructura de QA: 20%
Implementación del ambiente de seguridad: 8.8%
Se están realizando la revisión en conjunto entre PeruApps y TI de la Matriz de Servicios para el desarrollo del MVP1.
25/07/2025: En reunión diaria el área usuaria comunico: 
•	El contratista solicito ampliación de plazo para la presentación del Informe de despliegue del ambiente de Desarrollo (DEV) sobre las observaciones reportadas por TI el 14.07. El área usuaria comunico la aceptación a la solicitud. Pendiente que informe la fecha de presentación.
•	El área usuaria dio la conformidad del Análisis Funcional el 25/07 y está pendiente la conformidad del Diseño UX/UI el 07/08. Se suscribió la 3era Adenda debido al fideicomiso asociado al Contratista.
17/07/2025:  El 24.06.2025 el contratista remitió el Informe de Despliegue Base (Componente 10.1. Servicios compartidos) y se reportó observaciones. El 11.07 el contratista remite la subsanación de las correcciones con el cual TI dará respuesta el 18/07.
Continua pendiente la aprobación de los entregables: Análisis Funcional, Diseño UX/UI, por parte del área usuaria.
07/07/2025:  El 24.06.2025 el contratista remitio, respecto al Informe de Despliegue Base (Componente 10.1. Servicios compartidos) , el 25.06.2025, TI mediante correo electroncico reporto las observaciones al Informe presentado. El 03.07.2025 , contratista remitio Carta Notarial del contratista, respecto a la Clausura Novena del Contrato. Siguen pendientes de aprobacion los entegables de funcionalidad (Casos de uso), infraestructura y user testing.
11/06/2025:Según la información enviada de Planeamiento en el mes de Mayo se precisa lo siguiente:
Incumplimiento de (03) entregables por parte de la empresa contratada relacionados a los temas de funcionalidad (Casos de uso), infraestructura y user testing.  Cabe resaltar que se firmó la adenda de mejora el 30.05.2025; sin embargo, está pendiente el cronograma consensuado con TI.
El área usuaria gestionará la solicitud de cambios por parte del área líder del proyecto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02/06/2025 En daily del 29/5/2025  se indico que Segunda Adenda se encuentra en Logistica. Asimismo las Epicas 1 y 2 se encuentraban firmadas y en procesos de firmas la Epica 3.
23/05/2025: Se registra el Proyecto Nueva Plataforma de Banca Móvil y Banca por Internet. Se registró en el Backlog.
07/05/2025: Según la información remitida por Planeamiento mediante correo: Se encuentra pendiente por parte del proveedor subsanar las observaciones formuladas a los casos de uso; por lo que aún no habrá acta de conformidad y se preparará informe de penalidad. 
07/05/2025: Se cambió el nombre del Proyecto "Nueva app BN y Nuevo Home Banking "Multired Virtual" "a  Plataforma de Banca Móvil y Banca por Internet, según lo remitido por Planeamiento.
30/4/2025: Se tuvo reunión con el equipo técnico de TI, equipo de Banca Digital y Gerencia General se respondieron las consultas técnicas  y se quedo a las la espera del pronunciamiento de Banca Digital sobre los precios unitarios.
22/4/2025: Se firmó Carta de Compromiso (Carta N° 018-2025-BN/7901) relacionado a las actividades en curso.
31/03/25: En respuesta a la Carta 009-PCDBN-PERUAPPS-2025 - "Entrega de Informe de Despliegue de la Implementación de la Infraestructura Base en AWS para los ambientes a Implementar (Desarrollo, Certificación y Producción)" se emite el infirme técnico N° 00000005 - 2025-BN/2550 el 05.03.2025 en el cual se remiten observaciones al entregable. 
El contratista remite la Carta 015-PCDBN-PERUAPPS-2025 - "Respuesta a Observaciones al Informe de Implementación Base de la Infraestructura AWS" y se emite el Informe Técnico 00000008 - 2025-BN/2550 el 31.04.2025 (se envió a través de correo) en el cual se solicita al contratista ampliar el sustento técnico y realizar ajustes al informe presentado. Se está a la espera de la respuesta del Contratista para que TI emita un nuevo informe el cual para que el área usuaria pueda solicitar la Adenda. Las actividades de Despliegue del ambiente DEV no se puede iniciar hasta la conformidad del despliegue de la Infraestructura Base AWS.
28/02/25: TI se encuentra participando en reuniones técnicas con el proveedor. Se tuvo reunión con el Contratista el 17/02 en el cual presentaron la "Matriz de Requerimiento – Implementación Infraestructura Base AWS  v1.0" en dicho cuadro se mostró componentes que no están incluidos en los TdR y componentes que si están incluidos en los TdR, sin embargo no se tenía la claridad si se estaba cumpliendo con todo lo indicado en los TdR. El equipo de Arquitectura elaboro una matriz con todos los ítems indicados en los TdR (funcionalidades, características) a fin que el contratista defina con que herramienta y/o componente se cubría lo indicado en los TdR, esto se remitió con la Carta N°003-2025-BN/7901 de fecha 25.02. Se indico al area responsable del contraro que coordine con Logista a cerca de los diferenciales (componentes que se indicaban en la matriz presentada por el contratista y que no están indicado en los TdR.
17/02/25: TI se encuentra participando en reuniones técnicas con el proveedor y en reuniones de trabajo funcional (opcional). El 17.02 El contratista remitió la Matriz de Trazabilidad de Requerimientos correspondiente al despliegue y se agendara reuniones para la revisión. 
31/02/25 El avance Sobre las actividades de Implementación de Infraestructura Cloud (AWS)  43% y Sobre las actividades del Diseño, desarrollo e implementación de la solución 12% En esta ultima actividad me indicaron que han avanzado con la elaboracion de 59 CU de un total de 286
03/06/2025: Según la información enviada de Planeamiento mediante correo respecto al proyecto en el mes de abril se tiene que: Se cuenta en proceso de subsanaciòn por parte del proveedor, lo relacionado a la culminación de los casos de uso y observaciones del user testing efectuado. 
Asu vez, la adenda de mejora evaluada por el área legal cuenta con el informe de TI, el cual será remitido a la Gerencial General para su aprobación.
Se estima presentación de solicitud de cambios previo informe posterior a rpta de GG.
30/5/2025: EL 30/5/2025 se firmo la Segunda Adenda al contrato. Se tiene firmado las EPICAS 1 y 2, y estan en proceso la Epica 3.
23/05/2025: Se registra el Proyecto Nueva Plataforma de Banca Móvil y Banca por Internet. Se registró en el Backlog.</t>
  </si>
  <si>
    <t>2025-T0518</t>
  </si>
  <si>
    <t>2025-M0442</t>
  </si>
  <si>
    <t>Corrección en los extractores para Sentinel - Histórico de 6 meses SBS</t>
  </si>
  <si>
    <t>Resolver las incidencias reportadas por los usuarios respecto a los extractores del Proyecto Sentinel.</t>
  </si>
  <si>
    <t>Pedro Coca</t>
  </si>
  <si>
    <t>Transitorio_procesado</t>
  </si>
  <si>
    <t>15/01/26: Segun CQ el requerimiento fue atendido el el día 16/06/2025, pero el cierre del mantenimiento se dio el 15/01/26
13/06/25: Se registró en el Backlog.</t>
  </si>
  <si>
    <t>MEMORANDO N° 00000192 -2025-BN/2574</t>
  </si>
  <si>
    <t>Storagedata S.A.C</t>
  </si>
  <si>
    <t>03/10/2025: Al cierre de setiembre, el proveedor cumplió la totalidad de las actividades programadas conforme al cronograma establecido. Asimismo, se concluyó el Informe de Cierre y las lecciones aprendidas, que serán remitidos a la Gerencia de Planeamiento y Control de Gestión.
05/09/2025: Se reportó que el proveedor culminó con las actividades de la etapa de implementación del proyecto de acuerdo con el cronograma planificado. Asimismo, se ha iniciado la elaboración del informe de cierre del proyecto y la recopilación de las lecciones aprendidas.
25/07/2025: Se culminó la instalación de los equipos en la Sede de Chiclayo. Actualmente, se han iniciado las actividades correspondientes a la configuración y migración.
07/07/2025: Se reportó que el proveedor ha culminado con la entrega de los bienes en las tres sedes contempladas en el alcance del proyecto. Asimismo, se ha finalizado la instalación de los equipos en las sedes de San Isidro y San Borja.
En cuanto a la sede de Chiclayo, se informó que la instalación se viene ejecutando de manera anticipada contribuyendo al cumplimiento oportuno de los hitos establecidos
16/06/2025: Se registró en el Backlog. Proyecto aprobado en Comité Ejecutivo de Proyectos, mediante acta N°3 del 19/03/2025.</t>
  </si>
  <si>
    <t>2025-T0526</t>
  </si>
  <si>
    <t>2025-M0452</t>
  </si>
  <si>
    <t>Adecuación de proceso de extracción de datos para Transacciones EMULBATCH - CCE</t>
  </si>
  <si>
    <t>Adecuar los procesos que genera el archivo extractor de transacciones EMULBATCH en lo que respecta a la aplicación CCE que luego serán cargadas en Tablas del Proyecto Sentinel</t>
  </si>
  <si>
    <t xml:space="preserve">Préstamos Multired </t>
  </si>
  <si>
    <t>N° 27693
SBS 2660-2015</t>
  </si>
  <si>
    <t>25/06/2025: Se regularizó requerimiento en el Backlog.</t>
  </si>
  <si>
    <t>2025-T0530</t>
  </si>
  <si>
    <t>2025-M0453</t>
  </si>
  <si>
    <t>Adecuacion de proceso de extraccion de datos para Transacciones EMULBATCH - CHI</t>
  </si>
  <si>
    <t>Adecuar los procesos que genera el archivo extractor de transacciones EMULBATCH en lo que respecta a la aplicación CHI que luego serán cargadas en Tablas del Proyecto Sentinel</t>
  </si>
  <si>
    <t>Crédito Hipotecario</t>
  </si>
  <si>
    <t>2025-T0531</t>
  </si>
  <si>
    <t>2025-M0454</t>
  </si>
  <si>
    <t>Adecuacion de proceso de extraccion de datos para Transacciones EMULBATCH - CRY</t>
  </si>
  <si>
    <t>Adecuar los procesos que genera el archivo extractor de transacciones EMULBATCH en lo que respecta a la aplicación CRY que luego serán cargadas en Tablas del Proyecto Sentinel</t>
  </si>
  <si>
    <t>Préstamos Institucionales</t>
  </si>
  <si>
    <t>2025-T0532</t>
  </si>
  <si>
    <t>2025-M0455</t>
  </si>
  <si>
    <t>Adecuacion de proceso de extraccion de datos para Transacciones EMULBATCH - PGH</t>
  </si>
  <si>
    <t>Adecuar los procesos que genera el archivo extractor de transacciones EMULBATCH en lo que respecta a la aplicación PGH que luego serán cargadas en Tablas del Proyecto Sentinel</t>
  </si>
  <si>
    <t>Trasitorio_autorizado</t>
  </si>
  <si>
    <t>2025-T0533</t>
  </si>
  <si>
    <t>2025-M0456</t>
  </si>
  <si>
    <t>Adecuacion de proceso de extraccion de datos para Transacciones EMULBATCH - PRM</t>
  </si>
  <si>
    <t>Adecuar los procesos que genera el archivo extractor de transacciones EMULBATCH en lo que respecta a la aplicación PRM que luego serán cargadas en Tablas del Proyecto Sentinel</t>
  </si>
  <si>
    <t>2025-T0534</t>
  </si>
  <si>
    <t>2025-M0457</t>
  </si>
  <si>
    <t>Adecuacion de proceso de extraccion de datos para Transacciones EMULBATCH - LBT</t>
  </si>
  <si>
    <t>Adecuar los procesos que genera el archivo extractor de transacciones EMULBATCH en lo que respecta a la aplicación LBT que luego serán cargadas en Tablas del Proyecto Sentinel</t>
  </si>
  <si>
    <t>2025-T0585</t>
  </si>
  <si>
    <t>Adecuación del proceso de extracción de datos para transacciones pendientes de Depósitos Judiciales para SENTINEL, continuación de adecuaciones TRX priorizadas.</t>
  </si>
  <si>
    <t>MEMORANDO N° 00000020 - 2025-BN/1201</t>
  </si>
  <si>
    <t>Depósitos Judiciales y Administrativos</t>
  </si>
  <si>
    <t>01/07/2025: Se registró requerimiento en el Backlog y se creó el trámite respectivo. Requerimiento asociado al Proyecto Sentinel (ID 2487)</t>
  </si>
  <si>
    <t>2025-T0635</t>
  </si>
  <si>
    <t>2025-M0525</t>
  </si>
  <si>
    <t>Proyecto Nuevo Sistema de Pagaduría MEF-SUNAT</t>
  </si>
  <si>
    <t>Automatización de procesos de Transferencias  Interbancarias vía Liquidación Bruta en Tiempo Real (LBTR)</t>
  </si>
  <si>
    <t>25/07/2025: Se registró en el Backlog como regularizado.</t>
  </si>
  <si>
    <t>2025-T0736</t>
  </si>
  <si>
    <t>2025-P0625</t>
  </si>
  <si>
    <t>Nuevo aplicativo para el registro, seguimiento y medición de objetivos de desempeño y metas del personal del Banco de la Nación</t>
  </si>
  <si>
    <t>MEMORANDO N° 00000045 - 2025-BN/4111</t>
  </si>
  <si>
    <t>30/12/2025: Según el acta de reunión del comité de proyectos, se debe agendar una reunión con las gerencias de TI, Planeamiento y Control de Gestión para reevaluar el alcance del proyecto y la gerencia de TI debe revisar las fechas propuestas del nuevo cronograma, el cual se pretende presentar a inicios del próximo año.
01/12/2025
Segun consta en Acta de Constitucion del Proyecto, el Proyecto seria de Marzo 2025 a Julio 2026, empezando la etapa de Desarrollo en Octubre 2025
Se debe indicar que la duracion estimada se realizo considerando la inclusion de tres recursos para la etapa de desarrollo.
Se realizaron coordinaciones con el lider tecnico designado de parte de TI, para la elaboracion de un cronograma previo de desarrollo de la aplicacion
 y agregar el tiempo estimado de certificacion y produccion.
Al 7 de Noviembre con tiempos estimados recibidos, se actualizo el cronograma y se advierte que este proyecto se extiende hasta Junio 2027,
debido a que ahora solo se incluye la participacion de solo un recurso en la etapa de desarrollo, y ademas el inicio de la etapa de desarrollo se actualizo de Octubre 2025 a Noviembre 2025
Al 01-12-2025 las actividades de Desarollo de la Aplicacion avanza, segun cronograma establecido 5%, y se lleva a cabo reuniones con el area usuario para su revision.
Se espera que en Febrero 2026, se cuente con 2 recursos adicionales, con lo que se podria acelerar las actividades y finalizar el proyecto , 
segun calculos realizados en Noviembre 2026.
"30/09/2025: Según la información enviada de Planeamiento en el mes de Septiembre se precisa lo siguiente:
 El proyecto “Aplicativo de Evaluación de Desempeño por Objetivos (EDDO)” . 
Desde su aprobación el 21 de agosto de 2025, se han cumplido los pasos formales requeridos,
 incluyendo la remisión de los documentos técnicos (FI, CN, AC) y el envío del Anexo 01 a la Gerencia de TI. 
A la fecha (13 de octubre de 2025), el proyecto se encuentra en proceso de confirmación del cronograma de atención 
con la Oficina de Proyectos y Procesos de TI, lo que evidencia un avance sostenido hacia la planificación del desarrollo del aplicativo. 
10/09/25: Se registró en el Backlog</t>
  </si>
  <si>
    <t>2025-T0466</t>
  </si>
  <si>
    <t>2025-M0398</t>
  </si>
  <si>
    <t>Adecuacion del Proceso de Extraccion de Datos de Transacciones para el proyecto SENTINEL</t>
  </si>
  <si>
    <t>12/08/2025: Se registró el requerimiento perteneciente al Proyecto Sentinel en la Demanda Estratégica CT.
11/08/2025: Cartera reasignada a Percy Silva
30/05/25: Según CQ, actualizó el estado a 03. En Desarrollo
28/05/2025: Se regularizó requerimiento en el Backlog.</t>
  </si>
  <si>
    <t>2025-T0587</t>
  </si>
  <si>
    <t>2025-M0561</t>
  </si>
  <si>
    <t>Adecuación del proceso de extracción de datos de transacciones para el proyecto SENTINEL, continuación de las adecuaciones - TRX prioridad 2.</t>
  </si>
  <si>
    <t>07/07/2025: Se registró el requerimiento perteneciente al Proyecto Sentinel en la Demanda Estratégica CT.
01/07/2025: Se registró requerimiento en el Backlog y se creó el trámite respectivo. Requerimiento asociado al Proyecto Sentinel (ID 2487)</t>
  </si>
  <si>
    <t>2025-T0133</t>
  </si>
  <si>
    <t>Cajeros Automáticos Depositarios</t>
  </si>
  <si>
    <t>Realizar cambios de ingeniería que se necesiten en los Cajeros Automáticos Depositarios a fin de que sean integrados en el aplicativo ESPLINK</t>
  </si>
  <si>
    <t>Felix Ochoa, Guisella Palacios, Ricardo Cuba; Vladimir Cajavilca</t>
  </si>
  <si>
    <t>Registrado</t>
  </si>
  <si>
    <t>31/12/2025: Estamos avanzando con las actividades de desarrollo, planifcadas segun el cronograma establecido por el equipo, se acordo asignar mantenimientos a los equipos de Sistemas Bancarios y Sistemas Administrativos.
01/12/2025: Culminaron las actividades Etapa 1 de la prestación principal. Iniciamos la Etapa 2 con las actividades del equipo TI BN, Proveedor y Bevertec. Se está avanzando las actividades según el cronograma establecido por el equipo.
06/10/25: Se encuentra iniciando la etapa de revisión, se presentaron observaciones que fueron subsanados por el proveedor, está pendiente del informe de Seguridad Física. Luego de la presentación al día siguiente inicia los 200 días para la implementación. Los cajeros depositarios están en el laboratorio.
Pendiente de Bevertec remita su propuesta de los desarrollos.
05/09/2025: El 25/08 se entregaron los cinco (5) cajeros depositarios. El 26 y 27 de agosto los equipos de TI y área usuaria realizaron la verificación física de equipos. El equipo de TI elaborara el informe con las observaciones encontradas que serán remitidas al Proveedor para la subsanación de los mismos.
El 29/08 el área usuaria remitió mediante correo electrónico la documentación de los Cajeros Depositarios al equipo técnico el cual será regularizado mediante memorando. También se realizó la presentación de los flujos funcionales y el área usuaria debe actualizar y remitir el Anexo 1, asimismo se deberá elaborar el PCR para que el BN estime sus esfuerzos en las implementaciones pertinentes. El equipo de Construcción recomendó que se trabaje con más de un PRC a fin de agilizar las atenciones.
25/07/2025 De acuerdo a reunión del 07/07, el Proveedor Diebold remitió el manual técnico del ATM que se internará y los comandos para extracción de los contadores para interpretación del switch, el mismo que fue reenviado al Proveedor Bevertec. Queda pendiente que los usuarios remitan el Anexo 1 actualizado con los flujos de cada transacción, la definición de aquellas transacciones que van por contacless y la relación de dispositivos del ATM que serán monitoreados. El BN-Construcción se encuentra validando los desarrollos que serán trasladados al Proveedor Bevertec. Pendiente actualizar cronograma en coordinación con el Proveedor y usuarios.
17/07/2025: Actualmente se vienen desarrollando sesiones de trabajo conjuntas con TI, área usuaria y el proveedor Diebold. Se espera que el área usuaria remita su Anexo 1 actualizado de acuerdo a lo solicitado en reunión del 07/07. Se agendará reuniones para revisar el cronograma y definir actividades técnicas y plazos.
07/07/2025 : Actualmente se vienen desarrollando sesiones de trabajo conjuntas con la Gerencia de Tecnologías de Información y el proveedor Diebold, orientadas al diseño de la arquitectura de la solución y la gestión de los componentes de TI, en paralelo a la espera de la recepción física de los bienes.Asimismo sesiones con area usuario para definir el flujo funcional.
11/06/2025:Según la información enviada de Planeamiento en el mes de Mayo se precisa lo siguiente:
Se están realizando sesiones de trabajo para el diseño de la arquitectura de solución y gestión de componente de TI en conjunto con el equipo de la Gerencia de Tecnologías de Información y el proveedor Diebold, mientras se espera la recepción física de los bienes.
03/06/2025: Según la información enviada de Planeamiento mediante correo respecto al proyecto al mes de abril se tiene que: Se realizó la firma correspondiente del contrato con el postor ganador Diebold Nixdorf Perú SRL., asimismo, se llevó a cabo la ceremonia del Kickoff con las áreas correspondientes.
07/05/2025: Según la información remitida por Planeamiento mediante correo: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
31/01/25: Para lograr el perfeccionamiento del contrato, el postor ganador Diebold logró subsanar las observaciones de la respectiva documentación en coordinación con el área de Logística e Innovación Digital, lo cual permitirá que la firma de contrato se pueda concretar dentro de los plazos previstos.En absolución de consultas y observaciones hasta este viernes 31ene25.
31/12/2024: Al 13.12.2024 se encuentra en proceso de reformulación de ETMs por resolución del Tribunal OSCE declaró nulo el proceso de selección (05.12.2024).
El 27.12.2024 se convocó en el SEACE la LP-SM-4-2024-BN-1
23/05/24 Mediante acta de comité estratégico de proyectos con fecha 06.05.24 se aprobó el control de cambios del alcance del proyecto, los usuarios deben formalizar el nuevo cronograma del proyecto y remitirlo a planeamiento.
03/05/2024 Se ha devuelto Anexo 1 con observaciones
26/04/2024 Mediante correo de Pablo Arias se entrega el Anexo 1 del proyecto, el cuál se devuelve con observaciones notificadas dentro del documeneto al remitente en mención. A la espera de la devolución con observaciones levantadas, firmado y remitido por STD. 
26/04/2024 A la espera de remitirse a TI el Anexo 1 y Anexo 2, asi mismo el registro de los requerimientos en OPP para su posterior categorización de cartera.
25/04/2024 Mediante Memo N° 63-2024-BN2810 en que se entrega la nueva lista de proyectos con componente TI se crea el proyecto en base de datos y se asigna el Lider usuario al proyecto, anteriormente no existia. 
03/06/2025: Según la información enviada de Planeamiento mediante correo respecto al proyecto en el mes de abril se tiene que: Se realizó la firma correspondiente del contrato con el postor ganador Diebold Nixdorf Perú SRL., asimismo, se llevó a cabo la ceremonia del Kickoff con las áreas correspondientes.
02/06/2025  El 13/5/2025 se realizó reunión entre Contratista y Equipo TI  para revisar el alcance técnico del proyecto. El 29/5/2025  en ruenion con Banca Digital se solicito actualizar el Anexo 1, según observaciones indicadas durante la reunion.
09/05/2025:  El Kick Off  se relaizo el 29/4/2025 entre personal involucrado del BANCO y Contratista (Diebold Nixdorf Perú SRL) ; El 5/5/2025 el contratista remitio por mesa de partes el entregable: "Detalle técnico de la integración Contacless". Se programo una reunion inicial tecnica para el 13/5/2025 entre Banco y Diebold
22/04/25: El proyecto fue asignado al nuevo gestor Rubén Cerda de la empresa TSOFT a partir del 14/04.
04/04/25 Se ha coordinado con el equipo de Construcción para que se vaya planificando los desarrollos asociados al Proyecto. Se observó el Anexo 1 remitido por el usuario, se espera que realicen los ajustes a las precisiones indicadas en dicho documento.
07/02/2025: Se creó trámite y se registró en la Demanda Priorizada.</t>
  </si>
  <si>
    <t>2025-T0747</t>
  </si>
  <si>
    <t>EDDO: Mantenimiento Complementario a Proyecto EDDO - Fase II</t>
  </si>
  <si>
    <t>Proyecto EDDO – Fase II: DashBoard (según determinado perfil), Consultas, Reportes con Gráficos, Notificaciones y publicación de resultados en POEM</t>
  </si>
  <si>
    <t>17/09/25: Se registró en el Backlog y se creó trámite. Proyecto hijo de ID 3025.</t>
  </si>
  <si>
    <t>2025-T0599</t>
  </si>
  <si>
    <t>2025-M0490</t>
  </si>
  <si>
    <t>Adquisición de Quioscos – Desarrollo de APIS</t>
  </si>
  <si>
    <t>Desarrollo de APIs para el Quiosco Multimedio</t>
  </si>
  <si>
    <t>02. En Ejecución</t>
  </si>
  <si>
    <t xml:space="preserve">
04/07/2025: Se registró requerimiento en el Backlog. Requerimiento asociados al Proyecto Quiosco Multimedia
</t>
  </si>
  <si>
    <t>Feilx Ochoa</t>
  </si>
  <si>
    <t xml:space="preserve">04/07/2025: Se registró requerimiento en el Backlog. Requerimiento asociados al Proyecto Quiosco Multimedia
</t>
  </si>
  <si>
    <t>2025-T0839</t>
  </si>
  <si>
    <t>Pruebas de Modelos basados en reglas del entregable 10 – Proyecto Sentinel</t>
  </si>
  <si>
    <t>10/11/25: Se registró en Backlog. 
10/11/25: Se creo Tramite 
Proyecto Hijo de ID 1753</t>
  </si>
  <si>
    <t>2025-T0840</t>
  </si>
  <si>
    <t>1749 y 442</t>
  </si>
  <si>
    <t>Pruebas de Modelos basados en reglas del entregable 9 y 12 – Proyecto Sentinel</t>
  </si>
  <si>
    <t>10/11/25: Se registró en Backlog. 
10/11/25:  Se creo Tramite
Proyecto Hijo de ID 1749 y 442</t>
  </si>
  <si>
    <t>2025-T0829</t>
  </si>
  <si>
    <t>2025-M0703</t>
  </si>
  <si>
    <t>ME: IMPLEMENTACIÓN DEL PROYECTO DE ROBOTIZACIÓN -  (RPA) - Tarjetas de Crédito y Préstamos Multired</t>
  </si>
  <si>
    <t>María Luisa</t>
  </si>
  <si>
    <t>Carlos Ramirez</t>
  </si>
  <si>
    <t>Luis Enrique Almeyda Pachas</t>
  </si>
  <si>
    <t>11/11/25: Se regularizó su registró en el Backlog. ID padre 2509</t>
  </si>
  <si>
    <t>2025-T0830</t>
  </si>
  <si>
    <t>2025-M0704</t>
  </si>
  <si>
    <t>ME: IMPLEMENTACIÓN DEL PROYECTO DE ROBOTIZACIÓN -  (RPA) -  Cargado y consistencia canje entrada</t>
  </si>
  <si>
    <t>Transitorio_Procesado</t>
  </si>
  <si>
    <t>2025-T0789</t>
  </si>
  <si>
    <t>2025-M0665</t>
  </si>
  <si>
    <t>CODIFICACION DE PROGRAMAS EXTRACTORES POR NUEVO PEDIDO ADICIONAL DE   OPLAFT</t>
  </si>
  <si>
    <t>Renee Galvez</t>
  </si>
  <si>
    <t>11/11/25: Se regularizó su registró en el Backlog.</t>
  </si>
  <si>
    <t>2025-T0869</t>
  </si>
  <si>
    <t>SENT .- SOPORTE Y CODIFICACION DE PROGRAMAS EXTRACTORES USADOS EN EL PROYECTO SENTINEL</t>
  </si>
  <si>
    <t>01/12/25: Se regularizó su registró en el Backlog.</t>
  </si>
  <si>
    <t>2026-T0013</t>
  </si>
  <si>
    <t>Registrar en la Nueva Banca Digital la validación de identidad presencial realizada en agencias mediante la transacción 4509 en Saraweb, con el fin de habilitar la afiliación a la Clave Dinámica Digital (CDD)</t>
  </si>
  <si>
    <t>Anyela Cortez</t>
  </si>
  <si>
    <t>MEMORANDO N° 00000535 - 2025-BN/3252</t>
  </si>
  <si>
    <t>SAVE-Sistema de Atención en Ventanillas</t>
  </si>
  <si>
    <t>2026-II</t>
  </si>
  <si>
    <t>07/01/26: Se registró en el Backlog.
07/01/26: Se registró en el Backlog.</t>
  </si>
  <si>
    <t>2026-T0012</t>
  </si>
  <si>
    <t>Control de Cuentas habilitadas en agencia o canales digitales para el Nuevo App/Web</t>
  </si>
  <si>
    <t>Fernando Narvaez</t>
  </si>
  <si>
    <t>MEMORANDO N° 00000582 - 2025-BN/3111</t>
  </si>
  <si>
    <t>SIUC-Sistema de Información Unica de Clientes</t>
  </si>
  <si>
    <t>2026-T0017</t>
  </si>
  <si>
    <t>2026-M0017</t>
  </si>
  <si>
    <t>SOPORTE Y CODIFICACION DE PROGRAMAS EXTRACTORES USADOS EN EL PROYECTO SENTINEL</t>
  </si>
  <si>
    <t xml:space="preserve">07/04/2026: Se registró en el Backlog
09/01/2026: Se creo tramite
Regularizacion
</t>
  </si>
  <si>
    <t xml:space="preserve">Gestión Documental Digital </t>
  </si>
  <si>
    <t>Unidad Implementadora del Proyecto (UIP)</t>
  </si>
  <si>
    <t>Eduardo Carlos Ibarra Santa Cruz</t>
  </si>
  <si>
    <t>Guisella Cuentas</t>
  </si>
  <si>
    <t>Memorando N° 00000109 - 2026-BN/8501</t>
  </si>
  <si>
    <t>240M</t>
  </si>
  <si>
    <t>BID-C1</t>
  </si>
  <si>
    <t>Amparo Valenzuela</t>
  </si>
  <si>
    <t>30/04/2026: Se registró en el Backlog.</t>
  </si>
  <si>
    <t>PROMSFBN-EO12-25-39  </t>
  </si>
  <si>
    <t>Uso de canales de comunicación digital</t>
  </si>
  <si>
    <t>Memorando N° 00000109 - 2026-BN/8502</t>
  </si>
  <si>
    <t>Aplicación de Metodología Ágil</t>
  </si>
  <si>
    <t>Memorando N° 00000109 - 2026-BN/8503</t>
  </si>
  <si>
    <t>Estrategia de Transformación Digital y Metodología incorporando perspectiva de genero y diversidad</t>
  </si>
  <si>
    <t>Memorando N° 00000109 - 2026-BN/8504</t>
  </si>
  <si>
    <t>Optimización e Integración de Procesos del Core del BN con Perspectiva de Género y Diversidad</t>
  </si>
  <si>
    <t>Memorando N° 00000109 - 2026-BN/8505</t>
  </si>
  <si>
    <t xml:space="preserve">Gestión del cambio con enfoque de género y diversidad </t>
  </si>
  <si>
    <t>Memorando N° 00000109 - 2026-BN/8506</t>
  </si>
  <si>
    <t>Metodología de aprendizaje para la Transformación Digital de Banca con inclusión financiera y con enfoque de género y diversidad</t>
  </si>
  <si>
    <t>Memorando N° 00000109 - 2026-BN/8507</t>
  </si>
  <si>
    <t>Programas de capacitación de temas priorizados</t>
  </si>
  <si>
    <t>Memorando N° 00000109 - 2026-BN/8508</t>
  </si>
  <si>
    <t>Adquisición de equipos tecnológicos especializados para los canales presenciales (para agencias piloto).</t>
  </si>
  <si>
    <t>Memorando N° 00000109 - 2026-BN/8509</t>
  </si>
  <si>
    <t xml:space="preserve">Optimización de canales Digitales, Servicios financieros y de mercadeo </t>
  </si>
  <si>
    <t>Memorando N° 00000109 - 2026-BN/8510</t>
  </si>
  <si>
    <t>Diseño e implementación de estrategia de fortalecimiento institucional de género y diversidad</t>
  </si>
  <si>
    <t>Memorando N° 00000109 - 2026-BN/8511</t>
  </si>
  <si>
    <t>Core Bancario Implementado</t>
  </si>
  <si>
    <t>Roberto Llanos</t>
  </si>
  <si>
    <t>Memorando N° 00000109 - 2026-BN/8512</t>
  </si>
  <si>
    <t>BID-C2</t>
  </si>
  <si>
    <t>Sistema de Recaudación y Canal Págalo.pe Implementados</t>
  </si>
  <si>
    <t>Memorando N° 00000109 - 2026-BN/8513</t>
  </si>
  <si>
    <t xml:space="preserve">Capacitación en Metodologías Desarrollo de Software </t>
  </si>
  <si>
    <t>Memorando N° 00000109 - 2026-BN/8514</t>
  </si>
  <si>
    <t>Tecnologías escalables implementadas</t>
  </si>
  <si>
    <t>Memorando N° 00000109 - 2026-BN/8515</t>
  </si>
  <si>
    <t>Nuevos Procesos de Gestión y protección de datos</t>
  </si>
  <si>
    <t>Memorando N° 00000109 - 2026-BN/8516</t>
  </si>
  <si>
    <t>Actualización de la Metodologia de Desarrollo de Sotfware</t>
  </si>
  <si>
    <t>Memorando N° 00000109 - 2026-BN/8517</t>
  </si>
  <si>
    <t>Adquisiciones de infraestructura tecnologica - CCD Chiclayo</t>
  </si>
  <si>
    <t>Fernando Iriarte</t>
  </si>
  <si>
    <t>Memorando N° 00000109 - 2026-BN/8518</t>
  </si>
  <si>
    <t>BID-C3</t>
  </si>
  <si>
    <t>Servicios especializados de ciberseguridad (ADV, EH, Threat Intel, IR)</t>
  </si>
  <si>
    <t>Memorando N° 00000109 - 2026-BN/8519</t>
  </si>
  <si>
    <t>Centro de Operaciones de ciberseguridad (SOC)</t>
  </si>
  <si>
    <t>Memorando N° 00000109 - 2026-BN/8520</t>
  </si>
  <si>
    <t>Adecuación de las políticas de gestión de riesgo de ciberseguridad</t>
  </si>
  <si>
    <t>Memorando N° 00000109 - 2026-BN/8521</t>
  </si>
  <si>
    <t xml:space="preserve">Planes de acción para cumplimiento del SGSIC (Sistema de Gestión de Seguridad de la Información y Ciberseguridad) </t>
  </si>
  <si>
    <t>Memorando N° 00000109 - 2026-BN/8522</t>
  </si>
  <si>
    <t xml:space="preserve">Planes de acción para cumplimiento de Payment Card Industry - PCI DSS </t>
  </si>
  <si>
    <t>Memorando N° 00000109 - 2026-BN/8523</t>
  </si>
  <si>
    <t>Actualización de los planes de contingencia y recuperación ante desastres.</t>
  </si>
  <si>
    <t>Memorando N° 00000109 - 2026-BN/8524</t>
  </si>
  <si>
    <t>Servicio de protección y control de acceso IAM SSO</t>
  </si>
  <si>
    <t>Memorando N° 00000109 - 2026-BN/8525</t>
  </si>
  <si>
    <t>Herramientas de Ciberseguridad</t>
  </si>
  <si>
    <t>Memorando N° 00000109 - 2026-BN/8526</t>
  </si>
  <si>
    <t xml:space="preserve">Prueba de planes de contingencia </t>
  </si>
  <si>
    <t>Memorando N° 00000109 - 2026-BN/8527</t>
  </si>
  <si>
    <t>Antibots (Web Application Firewall, API protection y bots)</t>
  </si>
  <si>
    <t>Memorando N° 00000109 - 2026-BN/8528</t>
  </si>
  <si>
    <t>Seguridad en el Ciclo de Desarrollo de Sotfware</t>
  </si>
  <si>
    <t>Memorando N° 00000109 - 2026-BN/8529</t>
  </si>
  <si>
    <t>Seguridad en la nube</t>
  </si>
  <si>
    <t>Memorando N° 00000109 - 2026-BN/8530</t>
  </si>
  <si>
    <t>Vault Server</t>
  </si>
  <si>
    <t>Memorando N° 00000109 - 2026-BN/8531</t>
  </si>
  <si>
    <t>%ENE
2024</t>
  </si>
  <si>
    <t>%FEB
2024</t>
  </si>
  <si>
    <t>%MAR
2024</t>
  </si>
  <si>
    <t>% ABRIL
2024</t>
  </si>
  <si>
    <t>% MAY
2024</t>
  </si>
  <si>
    <t>% JUN
2024</t>
  </si>
  <si>
    <t>% JUL
2024</t>
  </si>
  <si>
    <t>% AGO
2024</t>
  </si>
  <si>
    <t>% SET
2024</t>
  </si>
  <si>
    <t>% OCT
2024</t>
  </si>
  <si>
    <t>% NOV
2024</t>
  </si>
  <si>
    <t>% DIC
2024</t>
  </si>
  <si>
    <t>%ENE
2025</t>
  </si>
  <si>
    <t>%FEB
2025</t>
  </si>
  <si>
    <t>%MAR
2025</t>
  </si>
  <si>
    <t>% ABRIL
2025</t>
  </si>
  <si>
    <t>% MAY
2025</t>
  </si>
  <si>
    <t>% JUN
2025</t>
  </si>
  <si>
    <t>% JUL
2025</t>
  </si>
  <si>
    <t>% AGO
2025</t>
  </si>
  <si>
    <t>% SET
2025</t>
  </si>
  <si>
    <t>% OCT
2025</t>
  </si>
  <si>
    <t>% NOV
2025</t>
  </si>
  <si>
    <t>% DIC
2025</t>
  </si>
  <si>
    <t>% ENE
2026</t>
  </si>
  <si>
    <t>% FEB
2026</t>
  </si>
  <si>
    <t>Código Iniciativa Propuesta</t>
  </si>
  <si>
    <t>Proyectos Priorizados</t>
  </si>
  <si>
    <t>Descripción</t>
  </si>
  <si>
    <t>Estado de TI</t>
  </si>
  <si>
    <t>Presuesto</t>
  </si>
  <si>
    <t>Tipo de Proyecto</t>
  </si>
  <si>
    <t>Planif</t>
  </si>
  <si>
    <t>Ejec</t>
  </si>
  <si>
    <t>Detalle del Estado a Febrero 2026</t>
  </si>
  <si>
    <t>Redefiniciones tecnológicas que generan retrasos en el cronograma. 
Clave Dinámica Digital (15/08/2025 – a la fecha)
Encriptación del PIN y del PAN (30/10/2025 – a la fecha)
Redefinición del acceso y arquitectura del Mainframe (26/01/2026 – a la fecha) 
Estos son los stoppers que impiden el comienzo integral sin reproceso que estaba proyectado para el 26/11/2025</t>
  </si>
  <si>
    <t>Control de cambios aprobado y al cierre del mes de febrero de 2026 se vienen realizando pruebas funcionales y técnicas en ambiente de desarrollo.</t>
  </si>
  <si>
    <t>En relación con la ETAPA I: MVP2 (salida) del proyecto Cuenta DNI, se tuvo una observación por parte de la CCE(Cámara de Compensación Electrónica) al Workbook, lo cual generó la necesidad de realizar un nuevo desarrollo por parte del proveedor Backbase, así como la ejecución de pruebas adicionales en el ambiente de Calidad antes de su pase a producción.
Este ajuste impactó las siguientes funcionalidades del canal móvil:
Transferencias interbancarias inmediatas de salida.
Transferencias por contacto de salida.
Transferencias mediante código QR de salida.
Nota: El Workbook es el documento donde se definen las reglas y flujos funcionales del proyecto, el cual sirve como base para el desarrollo y las validaciones técnicas por la CCE.</t>
  </si>
  <si>
    <t>Ene-2024
Proyecto culminado.</t>
  </si>
  <si>
    <t>Abr-2025
Proyecto culminado.</t>
  </si>
  <si>
    <t>Abr-2024
Proyecto culminado.</t>
  </si>
  <si>
    <t>Ago-2024
Proyecto culminado.</t>
  </si>
  <si>
    <t>Se culminó con los 10 procesos satisfactoriamente logrando pasar a producción en febrero 2026. En consecuencia, se solicita se cierre el proyecto Servicio de suscripción de licencia de software para la automatización robótica de procesos (RPA).
Se formalizó con la remisión del acta de cierre y el anexo de lecciones aprendidas del proyecto.</t>
  </si>
  <si>
    <t>En el mes de febrero se realizó la actualización de la herramienta con la finalidad de levantar las observaciones y vulnerabilidades identificadas en el ambiente de Calidad. Posteriormente, se ejecutó un nuevo escaneo de seguridad, mediante el cual se identificaron dos vulnerabilidades de nivel medio, las cuales fueron comunicadas al proveedor para la elaboración de su respectivo plan de remediación.
Asimismo, se dio inicio a las pruebas de usuario de los módulos, en coordinación con el área de TI.
A su vez, se inicio las gestiones para la presentación la solicitud de cambios del proyecto.</t>
  </si>
  <si>
    <t xml:space="preserve">Oct-2024
Proyecto culminado. </t>
  </si>
  <si>
    <t>Dic-2023
Proyecto culminado.</t>
  </si>
  <si>
    <t>Se viene coordinando con el proveedor la entrega del cronograma detallado de actividades, en el cual se evidencian los porcentajes de avance. Se estima contar con dicha información en marzo.</t>
  </si>
  <si>
    <t>Nov-2024
Proyecto culminado.</t>
  </si>
  <si>
    <t>Set-2024
Proyecto culminado.</t>
  </si>
  <si>
    <t>Jul-2024
Proyecto culminado.</t>
  </si>
  <si>
    <t>Ene-2025
Proyecto culminado.</t>
  </si>
  <si>
    <t>Se procede al cierre del proyecto, en cumplimento del acuerdo del Comité de Proyectos del 23.01.26, que precisa el retiro del proyecto del portafolio de proyectos: y su ratificación en el acuerdo del comité del 03.03.2026 que indica su cierre. Por lo cual, la Gerencia de Innovación y Transformación Digital gestiona la formalización del cierre con la remisión del acta de cierre y el anexo de lecciones aprendidas del proyecto.
Cabe señalar que al cierre de febrero el proyecto logra alcanzar el 93% del total planificado, destacando la culminación del marco normativo: políticas, principios, norma institucional, estructura de gobierno, roles, ciclo de vida del dato y procedimientos de auditoría, MOF, plan de gobierno con inventario, clasificación y documentación de datos. Asimismo, quedando pendiente a continuar el implementación del plan de comunicación/capacitación y el plan de metadatos y taxonomías.</t>
  </si>
  <si>
    <r>
      <t>Proyecto Cerrado:</t>
    </r>
    <r>
      <rPr>
        <sz val="10"/>
        <color rgb="FFFF0000"/>
        <rFont val="Arial"/>
        <family val="2"/>
      </rPr>
      <t xml:space="preserve"> Considerando que se ha logrado el objetivo estratégico del proyecto mediante la permanencia asegurada del Centro de Datos de Respaldo en su ubicación actual, se considera oportuno cerrar el proyecto ya que la necesidad de trasladar el centro de datos ya no esta latente y tenemos una ampliación de plazo debido a una negociación con el TC. Ante ello, la gerencia de TI solicitó el cierre del proyecto dentro del portafolio de proyectos.</t>
    </r>
  </si>
  <si>
    <t> </t>
  </si>
  <si>
    <t>Ene-2026
Proyecto culminado.</t>
  </si>
  <si>
    <t>En el proyecto Tarjeta Tesoro, se han remitido en reiteradas ocasiones comunicaciones al MEF; sin embargo, a la fecha no se cuenta con respuesta respecto al diseño de las tarjetas ni a la publicación de la normativa correspondiente.
Esta situación ha generado que el avance del proyecto dependa directamente de definiciones externas, lo cual ha impedido cumplir con lo planificado.
En ese contexto, en el Comité de Proyectos realizado el 03/03/2026, se acordó retirar el proyecto “Tarjeta Tesoro” de la cartera de proyectos estratégicos del Banco.</t>
  </si>
  <si>
    <t>Al cierre del mes de febrero se elaboró el cronograma para la presentación de la solicitud de cambios con ampliación de plazo coordinado con la Gerencia de Operaciones, Gerencia de TI, EL PROVEEDOR
La integración de AD, ISIM se dio satisfactoriamente 
Se está manteniendo reuniones con la SUNAT para la revisión de los detalles técnicos de la Integración de la plataforma.</t>
  </si>
  <si>
    <r>
      <rPr>
        <b/>
        <sz val="10"/>
        <color rgb="FFFF0000"/>
        <rFont val="Arial"/>
      </rPr>
      <t xml:space="preserve">Proyecto Cerrado: </t>
    </r>
    <r>
      <rPr>
        <sz val="10"/>
        <color rgb="FFFF0000"/>
        <rFont val="Arial"/>
      </rPr>
      <t xml:space="preserve">Según el acta de reunión N°08-2025 la Gerencia de Operaciones solicitó el cierre del proyecto debido a que previo a este proyecto se ha definido la necesidad de reforzar el sistema de Banca Empresarial del Banco de la Nación. </t>
    </r>
  </si>
  <si>
    <t xml:space="preserve">04/11/2025: Según el acta de reunión N°08-2025 la Gerencia de Operaciones solicitó el cierre del proyecto debido a que previo a este proyecto se ha definido la necesidad de reforzar el sistema de Banca Empresarial del Banco de la Nación. </t>
  </si>
  <si>
    <t>En el proyecto de Cajeros Depositarios, actualmente viene avanzando en la implementación de los flujos principales de la transacción de depósito, específicamente en las modalidades sin tarjeta y Contactless.
Asimismo, se está llevando a cabo la validación de las pantallas a nivel de front-end, con el objetivo de asegurar la correcta definición de la mensajería y la experiencia de usuario en cada etapa del proceso.
Adicionalmente, se viene trabajando en la definición de los flujos batch a nivel backend.</t>
  </si>
  <si>
    <t>PROYECTO</t>
  </si>
  <si>
    <t>CÓDIGO DE PLANEAMIENTO</t>
  </si>
  <si>
    <t>LIDER DEL PROYECTO</t>
  </si>
  <si>
    <t>LÍDER TÉCNICO</t>
  </si>
  <si>
    <t>FECHA COMPROMISO</t>
  </si>
  <si>
    <t>Pendientes</t>
  </si>
  <si>
    <t>Responsable</t>
  </si>
  <si>
    <t>Fecha Compromiso2</t>
  </si>
  <si>
    <t>Apoyo BN</t>
  </si>
  <si>
    <t>Proveedores</t>
  </si>
  <si>
    <t>Transferencias Inmediatas - Pruebas funcionales (3er ciclo) UAT</t>
  </si>
  <si>
    <t>Karin Robles</t>
  </si>
  <si>
    <t>Pendiente subsanar proveedor Temenos 2 observaciones</t>
  </si>
  <si>
    <t>Transferencias Inmediatas - Pruebas rendimiento</t>
  </si>
  <si>
    <t>Esther Cangalaya</t>
  </si>
  <si>
    <t>En Proceso</t>
  </si>
  <si>
    <t>Desarrollo de Retiro y deposito en Agentes corresponsales - desarrollo (Novatronic)</t>
  </si>
  <si>
    <t>Desarrollo Transferencias de entrada en desarrollo (Novatronic)</t>
  </si>
  <si>
    <t>Desarrollo de Retiro y deposito por ventanilla (Saraweb)</t>
  </si>
  <si>
    <t>Coordinación con área usuaria para la actualización del cronograma</t>
  </si>
  <si>
    <t xml:space="preserve">Milagros Huamaní </t>
  </si>
  <si>
    <t>Marito Carbajo</t>
  </si>
  <si>
    <t>Entrega a Belltech de información complementaria de las APIs (swagger)​</t>
  </si>
  <si>
    <t> Mario Carbajo​</t>
  </si>
  <si>
    <t>Finalizado</t>
  </si>
  <si>
    <t>Desarrollo de APIs</t>
  </si>
  <si>
    <t>Hector Zevallos / Mario C / Rossana R</t>
  </si>
  <si>
    <t>En Proceso​</t>
  </si>
  <si>
    <t>Integración de Mainframe (Splink-Host)​</t>
  </si>
  <si>
    <t>Vladimir Cajavilca​</t>
  </si>
  <si>
    <t>Integración con Biometría (Zytrus)​</t>
  </si>
  <si>
    <t>Rossana Rojas / Alex Valencia</t>
  </si>
  <si>
    <t>Revisión del cronograma en conjunto con usuario, TI y Proveedor.​</t>
  </si>
  <si>
    <t>Equipo técnico​</t>
  </si>
  <si>
    <t>Johnny Roca</t>
  </si>
  <si>
    <t>Pruebas del Tarifario en canal los canales Ventanlla, Web, App, Atm, Agentes (regresión)​</t>
  </si>
  <si>
    <t>Karin Robles​</t>
  </si>
  <si>
    <t>En Proceso:​ Al 24/09 se encuentra al 55% de madurez de las pruebas de los canales al 25/09</t>
  </si>
  <si>
    <t>Desarrollo de actualización del tarifario y pruebas en el canal Agentes para Cuenta Digital​</t>
  </si>
  <si>
    <t>Norma Fukunaga​</t>
  </si>
  <si>
    <t xml:space="preserve">En Proceso​. Debe pasar a Produccion el mantenimiento de Comisiones </t>
  </si>
  <si>
    <t>Mejorar Tabla de control-Desarrollo​</t>
  </si>
  <si>
    <t>Angela Risco​</t>
  </si>
  <si>
    <t>Pendiente de pase a produccion</t>
  </si>
  <si>
    <t>Análisis técnico de crecimiento de los archivos, VSAM, Tablas BD​</t>
  </si>
  <si>
    <t>Doris Zumaeta​</t>
  </si>
  <si>
    <t>Por definir​: A la espera de la Estrategia de Migración</t>
  </si>
  <si>
    <t>Ampliación de numeración de códigos para ctas de ahorro​</t>
  </si>
  <si>
    <t>El área usuaria remitio PCRs para su entrega a Bevertec​</t>
  </si>
  <si>
    <t>Definiciones de Desarrollos de Reportes contables​</t>
  </si>
  <si>
    <t>Ricardo Cuba​</t>
  </si>
  <si>
    <t>Definiciones Desarrollo en CICS​</t>
  </si>
  <si>
    <t>Definiciones Desarrollo para transacción de depósitos​</t>
  </si>
  <si>
    <t>En Proceso (depende de Vladimir)​</t>
  </si>
  <si>
    <t xml:space="preserve">El área usuaria remitio Anexo 1 actualizado </t>
  </si>
  <si>
    <t>Verificación física de equipos -  Sede Elizalde</t>
  </si>
  <si>
    <t>Producción / Seguridad Informática</t>
  </si>
  <si>
    <t>Informe de verificación física de equipos</t>
  </si>
  <si>
    <t>Equipo Técnico​</t>
  </si>
  <si>
    <t>Lennie Valencia</t>
  </si>
  <si>
    <t>Pendiente que Banca Digital remita el cronograma actualizado ​por la aprobación de Analisis Funcional y Diseño UX</t>
  </si>
  <si>
    <t>Area Usuaria</t>
  </si>
  <si>
    <t>Por Definir</t>
  </si>
  <si>
    <t>Pendiente - Se envio correo reiterando el envío del cronograma</t>
  </si>
  <si>
    <t xml:space="preserve">Informe de Despliegue del Ambiente QA </t>
  </si>
  <si>
    <t>PeruApps</t>
  </si>
  <si>
    <t>Observado - Se envio observaciones al 1er informe 23/09</t>
  </si>
  <si>
    <t>Informe mensual de Infraestructura - consumo marzo, abril, mayo  y junio</t>
  </si>
  <si>
    <t xml:space="preserve">En Proceso - Se solicito al equipo de Producción la elaboración de los Informea correspondiente a la tabla 10.1 Serivicio Compartido. PeruApps retirara de los informes el cuaadro de componentes que no forman parte del Software Base de Ambientes. </t>
  </si>
  <si>
    <t>Informe mensual de Infraestructura - consumo Julio</t>
  </si>
  <si>
    <t>Observado - Se envio a través de correo las observaciones de los componentes del Ambiente de Desarrollo 24/09</t>
  </si>
  <si>
    <t>Sesion explicativa al Equipo Técnico de PeruApps ssobre el entorno de trabajo para desarrollar en Cobol y explicacion general del flujo transaccional para tener en consideracion en sus desarrollos</t>
  </si>
  <si>
    <t>Hector Zevallos</t>
  </si>
  <si>
    <t>Capacitación para el desarrollo en Cobol</t>
  </si>
  <si>
    <t>Walter Tito</t>
  </si>
  <si>
    <t>Finalizado-  Desde el 19/09  al 25/09 - 2 horas diarias</t>
  </si>
  <si>
    <t>Solicitud de información y reunión tecnica para "Validar identidad con Tarjeta de Débito "</t>
  </si>
  <si>
    <t>Información para los Servicios que desarrollaran en Mainframe</t>
  </si>
  <si>
    <t>Reunión Antibot - Radware - PeruApps. Segun el TdR el Banco deberá de proporcionarlo</t>
  </si>
  <si>
    <t>Seguridad Informática</t>
  </si>
  <si>
    <t>En Proceso - Se cambio la reunión del 25/09 al 26/09</t>
  </si>
  <si>
    <t>Configuración WAF XC de f5</t>
  </si>
  <si>
    <t>Certificación del paquete 2 (4 procesos)​</t>
  </si>
  <si>
    <t>Graciela Córdova​</t>
  </si>
  <si>
    <t>Fabrica Testing</t>
  </si>
  <si>
    <t>En Proceso – Se ejecuto 4er ciclo​ de pruebas Integrales</t>
  </si>
  <si>
    <t>Revisión para realizar pruebas de carga e impacto en los aplicativos - Paquete 2 (4 procesos)​</t>
  </si>
  <si>
    <t>Carlos Ramirez​</t>
  </si>
  <si>
    <t>Por definir​</t>
  </si>
  <si>
    <t>Ejecutar pruebas de Carga en calidad​</t>
  </si>
  <si>
    <t>Graciela Córdova​​</t>
  </si>
  <si>
    <t xml:space="preserve">Paquete 3 - Proceso 4: Data de Editran para el Ambiente de Desarrollo </t>
  </si>
  <si>
    <t>En Proceso - El área usuaria aun no remite la data.</t>
  </si>
  <si>
    <t>Paquete 3 - Proceso 14 Data de Prestamo para el Ambiene de Desarrollo</t>
  </si>
  <si>
    <t>En Proceso - A la espera que remitan data de Prestamos (Carlos Gonzales)</t>
  </si>
  <si>
    <t>Paquete 3 - Proceso 15: Actualización del PDD (Documento Diseño de Proceso)</t>
  </si>
  <si>
    <t>Belltech</t>
  </si>
  <si>
    <t>Cambio del S.O en produccion del proceso 12 (Paquete 2)</t>
  </si>
  <si>
    <t>Eduardo Cárdenas / Elia Muñoz</t>
  </si>
  <si>
    <t>Prueba de Integracion con Novatronic​</t>
  </si>
  <si>
    <t>Eduardo Cárdenas​</t>
  </si>
  <si>
    <t>Orlando Manco-Proveedor</t>
  </si>
  <si>
    <t>En Proceso ​</t>
  </si>
  <si>
    <t>Pruebas de integración - desarrollo​</t>
  </si>
  <si>
    <t>Definición de las comisiones, transacciones y reglas contables para LBTR​</t>
  </si>
  <si>
    <t>Marco Ortiz​</t>
  </si>
  <si>
    <t>Nestor Acha - Proveedor</t>
  </si>
  <si>
    <t>Envío de cotizacion de mejoras BCRP y Contabilidad​</t>
  </si>
  <si>
    <t>Novatronic​</t>
  </si>
  <si>
    <t>Pruebas integrales LBTR con MEF / Novatronic - Certificación​</t>
  </si>
  <si>
    <t>Esther Cangalaya​</t>
  </si>
  <si>
    <t>Pendiente​</t>
  </si>
  <si>
    <t>Coordinación con área usuaria para la actualización del cronograma​</t>
  </si>
  <si>
    <t>En Proceso​ - Pendiente de respuesta</t>
  </si>
  <si>
    <t>Banca Empresarial -  Fase IV</t>
  </si>
  <si>
    <t>Despliegue en Producción de Pago de haberes 2025-M0326​</t>
  </si>
  <si>
    <t>Fabrica Indra</t>
  </si>
  <si>
    <t>Se ejecutará un nuevo ciclo de pruebas en coordinacion con el area usuaria, despues de las mejoras de Seguridad.</t>
  </si>
  <si>
    <t>Actualizar la version de Pago de Haberes por los cambios de Seguridad.</t>
  </si>
  <si>
    <t>Fiorella Galván</t>
  </si>
  <si>
    <t>Seguimiento al Piloto​</t>
  </si>
  <si>
    <t>Peter Valenacia</t>
  </si>
  <si>
    <t>Miriam Garcia</t>
  </si>
  <si>
    <t>Pendiente la aprobación del diseño y fabricación de las tajetas para reiniciar el piloto del proyecto.</t>
  </si>
  <si>
    <t>Renne Galvez</t>
  </si>
  <si>
    <t>Validacion del la integración del adaptador de seguridad con ISIM-BN  - DESARROLLO</t>
  </si>
  <si>
    <t>Wise Vision</t>
  </si>
  <si>
    <t>Telefónica Tech</t>
  </si>
  <si>
    <t>Entrega de un nuevo servidor (desarrollo, calidad, producción) a la Ger. Riesgos.</t>
  </si>
  <si>
    <t>Felix Rondon​</t>
  </si>
  <si>
    <t>Jesus Chavarria, Antonio Luyo</t>
  </si>
  <si>
    <t>Envío de la Arquitectura actualizada, en base al servidor y componentes nuevos solicitados</t>
  </si>
  <si>
    <t>Hector Linares</t>
  </si>
  <si>
    <t>Ajustes en las APIs para terminar de desplegar - DESARROLLO</t>
  </si>
  <si>
    <t>Revisión y ajustes de los 61 casos de prueba​</t>
  </si>
  <si>
    <t>Riesgos / Jorge Mora</t>
  </si>
  <si>
    <t>En Proceso - TI está a la espera de 8 CP para validar si cumple con el formato establecido del BN</t>
  </si>
  <si>
    <t>Creación de la Cuenta Privilegiada en ambiente de Desarrollo.</t>
  </si>
  <si>
    <t>Paolo Aguirre</t>
  </si>
  <si>
    <t>Carta de compromiso del Proveedor para el soporte y mantenimiento (power BI y python), sin costo adicional para el BN.</t>
  </si>
  <si>
    <t>Cristhian Cornejo​</t>
  </si>
  <si>
    <t>Revisión conjunta de la Matriz de Roles y Perfiles (Formulario: BN-OSI-12-07)</t>
  </si>
  <si>
    <t>Pendiente que Riesgos remita la matriz</t>
  </si>
  <si>
    <t>Revisión del manejo de la integridad de los datos por el uso de scraping en la solución</t>
  </si>
  <si>
    <t>Confirmar formato del CVS para que el Proveedor remita la documentación técnica de la operación de la plataforma GlobalSuite.</t>
  </si>
  <si>
    <t>Cronograma actualizado</t>
  </si>
  <si>
    <t>Compromiso informado a Directorio:
- Entregable 7 - FASE 2 (Febrero 2026)
- Entregable 7 - FASE 3 (Marzo 2026)
- Entregable 9 (Marzo 2026)
- Entregable 10 (Diciembre 2025)
- Entregable 12 (Diciembre 2025)</t>
  </si>
  <si>
    <t>Preparación de nueva estrategia para implementar el Proyecto</t>
  </si>
  <si>
    <t>BN / SS</t>
  </si>
  <si>
    <t>Despliegue de nueva versión de Sentinel y Repoter en ambiente de desarrollo y Calidad ​</t>
  </si>
  <si>
    <t>Smartsoft ​</t>
  </si>
  <si>
    <t>Despliegue de la nueva versión de Sentinel y Repoter en ambiente de desarrollo y Calidad ​</t>
  </si>
  <si>
    <t>SS</t>
  </si>
  <si>
    <t>En Proceso - confirmar fecha fin con SS</t>
  </si>
  <si>
    <t>Escaneo de vulnerabilidades en Sentinel y Reporter</t>
  </si>
  <si>
    <t>Carlos Arana</t>
  </si>
  <si>
    <t>Pendiente confirmar fecha con SS</t>
  </si>
  <si>
    <t>Integración ISAM</t>
  </si>
  <si>
    <t>Actualizar formato de Roles y Perfiles</t>
  </si>
  <si>
    <t>Fraudes / Oplaft / SS</t>
  </si>
  <si>
    <t>Entregable 10: Despliegue del Orquestador BN asociado al Mntto 2022-M0607 (PRODUCCIÓN)</t>
  </si>
  <si>
    <t>Jorge Ruiz / Maria Graciela / Edward Raymundo</t>
  </si>
  <si>
    <t>Entregable 10: Revisión plan de pruebas de rendimiento. (CALIDAD)</t>
  </si>
  <si>
    <t>Calidad BN / SS</t>
  </si>
  <si>
    <t>Entregable 10: Nuevas pruebas de rendimiento (CALIDAD)</t>
  </si>
  <si>
    <t>Jorge Ruiz / Smartsoft​</t>
  </si>
  <si>
    <t>Entregable 7: Ajustes y nuevas adecuaciones a los extractores​. (DESARROLLO)</t>
  </si>
  <si>
    <t>Jorge Ruiz / Oplaft</t>
  </si>
  <si>
    <t>SmartSoft</t>
  </si>
  <si>
    <t>Entregable 7: Firma de las Acta de conformidad e IRPF (DESARROLLO)</t>
  </si>
  <si>
    <t>Oplaft / Smartsoft​</t>
  </si>
  <si>
    <t>Entregable 7: Configuración de reglas y herramientas (CALIDAD)</t>
  </si>
  <si>
    <t>Entregable 7: Inicio de pruebas (CALIDAD)</t>
  </si>
  <si>
    <t>Oplaft</t>
  </si>
  <si>
    <t>Entregable 9: Firma del mapeo de datos actualizado.</t>
  </si>
  <si>
    <t>Construcción / Fraudes  / Smartsoft​</t>
  </si>
  <si>
    <t>Entregable 9:Reinicio de pruebas en DESARROLLO</t>
  </si>
  <si>
    <t>Fraudes / Construcción</t>
  </si>
  <si>
    <t>Visa</t>
  </si>
  <si>
    <t>Eduard Torres</t>
  </si>
  <si>
    <t>Entrega de los bienes en las tres sedes contempladas en el alcance del proyecto. ​</t>
  </si>
  <si>
    <t>Edward Torres​</t>
  </si>
  <si>
    <t>10/06​/2025</t>
  </si>
  <si>
    <t>Finalizado​</t>
  </si>
  <si>
    <t>Instalación de los equipos en las sedes de San Isidro y San Borja. ​</t>
  </si>
  <si>
    <t>24/06​/2025</t>
  </si>
  <si>
    <t>Instalación de los equipos en la sede Chiclayo​</t>
  </si>
  <si>
    <t>11/07​/2025</t>
  </si>
  <si>
    <t>Puesta en funcionamiento (Configuración y Migración) de los equipos​</t>
  </si>
  <si>
    <t>29/08​/2025</t>
  </si>
  <si>
    <t>Informe de Cierre y Lecciones aprendidas</t>
  </si>
  <si>
    <t>Milagros Huamanì</t>
  </si>
  <si>
    <t>Hoy:</t>
  </si>
  <si>
    <t>Modificar PGTIC</t>
  </si>
  <si>
    <t>Gerencia</t>
  </si>
  <si>
    <t>RQs.</t>
  </si>
  <si>
    <t>Líder técnico</t>
  </si>
  <si>
    <t>Año Compromiso</t>
  </si>
  <si>
    <t>Fin Planificado</t>
  </si>
  <si>
    <t>% Planificado</t>
  </si>
  <si>
    <t>% Ejecutado</t>
  </si>
  <si>
    <t>Desvío</t>
  </si>
  <si>
    <t>Dias faltantes</t>
  </si>
  <si>
    <t>Alerta</t>
  </si>
  <si>
    <t>Vencidos</t>
  </si>
  <si>
    <t>I-2025</t>
  </si>
  <si>
    <t>II-2025</t>
  </si>
  <si>
    <t>III-2025</t>
  </si>
  <si>
    <t>IV-2025</t>
  </si>
  <si>
    <t>I-2026</t>
  </si>
  <si>
    <t>II-2026</t>
  </si>
  <si>
    <t>III-2026</t>
  </si>
  <si>
    <t>IV-2026</t>
  </si>
  <si>
    <t>ESTADO</t>
  </si>
  <si>
    <t>Con Retraso</t>
  </si>
  <si>
    <t>&lt;0</t>
  </si>
  <si>
    <t>Por vencer</t>
  </si>
  <si>
    <t>0 y 9.99%</t>
  </si>
  <si>
    <t>A tiempo</t>
  </si>
  <si>
    <t>&gt;=10%</t>
  </si>
  <si>
    <t>Banca móvil / Banca por internet</t>
  </si>
  <si>
    <t>Martin Perez</t>
  </si>
  <si>
    <t>Carlos Ramírez</t>
  </si>
  <si>
    <t>Productos e Inclusión FInanciera</t>
  </si>
  <si>
    <t>Martín Kerrigan</t>
  </si>
  <si>
    <t>Riesgos - Oplaft</t>
  </si>
  <si>
    <t>TI</t>
  </si>
  <si>
    <t>Jose Macedo</t>
  </si>
  <si>
    <t>TOTAL</t>
  </si>
  <si>
    <t>(1) El piloto se finalizará en Jul-25</t>
  </si>
  <si>
    <t>(2) Actividades del Proyecto serán culminados en Dic-25</t>
  </si>
  <si>
    <t>(3) Proyecto cerrado, por firma Addenda con Tribunal Constitucional</t>
  </si>
  <si>
    <t>ESTADOS DE LA DEMANDA ESTRATÉGICA</t>
  </si>
  <si>
    <t>Definición</t>
  </si>
  <si>
    <t>Requerimientos nuevos ingresados a la cartera de Demanda de TI.  Aún no se le ha asignado un recurso o el recurso se encuentra atendiendo otros requerimientos de mayor prioridad.</t>
  </si>
  <si>
    <t>02. En Planificación</t>
  </si>
  <si>
    <t> Fue asignado el recurso y se encuentran estimando el tiempo de atención o está Pendiente de inicio de actividades de desarrollo.</t>
  </si>
  <si>
    <t>Aquellos requerimientos que se encuentran en proceso de desarrollo y/o pruebas con usuario en ambiente de Desarrollo.</t>
  </si>
  <si>
    <t>=SI(DemandaEstrateg_[@[Días faltantes]]&lt;0;'Definiciones'!$A$386;SI(DemandaEstrateg_[Días faltantes]&gt;0&amp;&amp;DemandaEstrateg_[Días faltantes]&lt;9.99</t>
  </si>
  <si>
    <t>04. Desarrollo Finalizado</t>
  </si>
  <si>
    <t>Requerimientos con desarrollo culminado, listo para pruebas en certificación</t>
  </si>
  <si>
    <t>Aquellos requerimientos que se encuentran en proceso de pruebas en ambiente de certificación</t>
  </si>
  <si>
    <t>06. Calidad Finalizado</t>
  </si>
  <si>
    <t>Aquellos requerimientos que fueron certificados (pruebas de calidad).</t>
  </si>
  <si>
    <t>07. En Despliegue</t>
  </si>
  <si>
    <t>Aquellos requerimientos que están iniciando las actividades de despliegue en ambiente de producción.</t>
  </si>
  <si>
    <t>Aquellos requerimientos que se encuentran desplegados en Producción.</t>
  </si>
  <si>
    <t>Aquellos requerimientos que por algun motivo, se desestimo la continuidad del Proyecto.</t>
  </si>
  <si>
    <t>04. Finalizado</t>
  </si>
  <si>
    <t>Para requerimientos desestimados por el usuario, devueltos por cambio total del Anexo o requerimientos duplicados.</t>
  </si>
  <si>
    <t>11. Paralizado</t>
  </si>
  <si>
    <t>Aquellos requerimientos que se encuentran en pausa por falta de recursos, disponibilidad de usuario, dependencia de otro requerimiento, dependencia de proveedor o actualización del anexo.</t>
  </si>
  <si>
    <t>06. Paralizado</t>
  </si>
  <si>
    <t>ESTADOS DEL CLEARQUEST</t>
  </si>
  <si>
    <t>Estado CQ</t>
  </si>
  <si>
    <t>Actualizar Demanda?</t>
  </si>
  <si>
    <t>Cuando se genera el mantenimiento</t>
  </si>
  <si>
    <t>Asignado a un analista de Desarrollo</t>
  </si>
  <si>
    <t>Cuando el analista culmina el desarrollo</t>
  </si>
  <si>
    <t>Pospuesto</t>
  </si>
  <si>
    <t>Cuando el analista paraliza el requerimiento</t>
  </si>
  <si>
    <t>Desarrollo aprobado por Jefatura para su pase a Calidad</t>
  </si>
  <si>
    <t>Desarrollo aprobado por Jefatura para el pase transitorio</t>
  </si>
  <si>
    <t>Rechazado por calidad para corrección por parte de Desarrollo</t>
  </si>
  <si>
    <t>Inicio de Pruebas en Calidad</t>
  </si>
  <si>
    <t>Cuando concluyen las pruebas en Calidad</t>
  </si>
  <si>
    <t>Observado_Certificacion</t>
  </si>
  <si>
    <t>Calidad registra una observación a ser subsanada a la brevedad por Construcción</t>
  </si>
  <si>
    <t>Devuelto</t>
  </si>
  <si>
    <t>Producción devuelve el requerimiento a Calidad</t>
  </si>
  <si>
    <t>Ordenado</t>
  </si>
  <si>
    <t>Producción inicia su trabajo de revisión para el despliegue</t>
  </si>
  <si>
    <t>Producción finaliza el despliegue</t>
  </si>
  <si>
    <t>Transitorio_Ordenado</t>
  </si>
  <si>
    <t>Calidad regulariza las pruebas en el ambiente</t>
  </si>
  <si>
    <t>Construcción realiza el descarte del requerimiento en coordinación con el usuario o de acuerdo a Normativa de gestión de la demanda vigente</t>
  </si>
  <si>
    <t>SI</t>
  </si>
  <si>
    <t>CONSOLIDADO DE LOS ESTADOS DE LA DEMANDA ESTRATÉGICA</t>
  </si>
  <si>
    <t>Estado Planeamiento</t>
  </si>
  <si>
    <t>Motivo de paralización</t>
  </si>
  <si>
    <t>Dependencia otro requerimiento</t>
  </si>
  <si>
    <t>Falta recursos TI</t>
  </si>
  <si>
    <t>Disponibilidad Usuario</t>
  </si>
  <si>
    <t>Actualización de Anexo</t>
  </si>
  <si>
    <t>Despriorizado por usuario</t>
  </si>
  <si>
    <t>Dependencia del proveedor</t>
  </si>
  <si>
    <t>Duplicidad de Req.</t>
  </si>
  <si>
    <t>Por antigüedad mayor a 2 años</t>
  </si>
  <si>
    <t>Atendido en otro mantenimiento</t>
  </si>
  <si>
    <t>Acuerdo Comité Demanda TI</t>
  </si>
  <si>
    <t>Otro</t>
  </si>
  <si>
    <t>Definiciones</t>
  </si>
  <si>
    <t>Requerimiento que tiene como finalidad mejorar, cambiar o incorporar procesos en el funcionamiento de un sistema de información, aplicativo o modulo ya existente y/o implementado.</t>
  </si>
  <si>
    <t>Requerimiento que tiene como finalidad corregir una determinada funcionalidad de un sistema de información, aplicativo o modulo ya existente y/o implementado.</t>
  </si>
  <si>
    <t>Requerimiento que deviene de una entidad reguladora y/o supervisora del Sistema Financiero (SBS, Contraloría, BCRP, SMV), así como requerimientos que devienen de las Normas y/o regulaciones de las marcas de tarjeta (Visa, Mastercard).</t>
  </si>
  <si>
    <t>Requerimiento que atiende la petición de algún órgano de control interno (Auditoría Interna, OCI, Planes de Acción de Riesgos) o externo (Auditoría Externa, SBS, entre otros).</t>
  </si>
  <si>
    <t xml:space="preserve">Requerimiento que busca optimizar el rendimiento de los procesos del BN, ya sea a través de cambios graduales o mejoras significativas. Estos proyectos buscan aumentar la eficiencia, reducir costos, mejorar la calidad y, en última instancia, lograr los objetivos del BN. </t>
  </si>
  <si>
    <t>Requerimiento enfocado en utilizar la tecnología a nivel de hardware para resolver un problema o satisfacer una necesidad, transformando procesos y generando un impacto positivo. Estos proyectos involucran el diseño y la creación o modificación de productos tecnológicos que mejoren la calidad de vida de los productos hacia los clientes del BN.</t>
  </si>
  <si>
    <t>Auditoría externa</t>
  </si>
  <si>
    <t>Auditoría interna</t>
  </si>
  <si>
    <t>FONAFE</t>
  </si>
  <si>
    <t>MEF</t>
  </si>
  <si>
    <t>OCI / Contraloría</t>
  </si>
  <si>
    <t>SMV</t>
  </si>
  <si>
    <t>SUNAT</t>
  </si>
  <si>
    <t>Gestores de Proyectos</t>
  </si>
  <si>
    <t>Milagros Huamani</t>
  </si>
  <si>
    <t>Nombre corto</t>
  </si>
  <si>
    <t>Administración y Logística</t>
  </si>
  <si>
    <t>Logística</t>
  </si>
  <si>
    <t>Órgano de Auditoría Interna</t>
  </si>
  <si>
    <t>Auditoria</t>
  </si>
  <si>
    <t>B. Digital</t>
  </si>
  <si>
    <t>Comunicaciones y Relaciones institucionales</t>
  </si>
  <si>
    <t>Comunicac.</t>
  </si>
  <si>
    <t>Finanzas y Tesorería</t>
  </si>
  <si>
    <t>Finanzas</t>
  </si>
  <si>
    <t>Operac.</t>
  </si>
  <si>
    <t>Gerencia General</t>
  </si>
  <si>
    <t>Gerencia Gral.</t>
  </si>
  <si>
    <t>Innovación y Transformación Digital</t>
  </si>
  <si>
    <t>Innovación</t>
  </si>
  <si>
    <t>Legal</t>
  </si>
  <si>
    <t>PLAFT</t>
  </si>
  <si>
    <t>Planeamiento</t>
  </si>
  <si>
    <t>Productos</t>
  </si>
  <si>
    <t>RRHH</t>
  </si>
  <si>
    <t>Red de Agencias</t>
  </si>
  <si>
    <t>Red Ag.</t>
  </si>
  <si>
    <t>Oficialía de Cumplimiento Normativo y Conducta de Mercado</t>
  </si>
  <si>
    <t>Oficialía de CN</t>
  </si>
  <si>
    <t>Órgano de Control Institucional</t>
  </si>
  <si>
    <t>OCI</t>
  </si>
  <si>
    <t>Subgerencia</t>
  </si>
  <si>
    <t>Administración de Personal</t>
  </si>
  <si>
    <t>Arquitectura de TIC</t>
  </si>
  <si>
    <t>Arquitectura TIC</t>
  </si>
  <si>
    <t>Asuntos Administrativos</t>
  </si>
  <si>
    <t>Asuntos Bancarios y Financieros</t>
  </si>
  <si>
    <t>Asuntos Bancarios / Financieros</t>
  </si>
  <si>
    <t>Asuntos Procesales</t>
  </si>
  <si>
    <t>Atención de reclamos</t>
  </si>
  <si>
    <t>Atención reclamos</t>
  </si>
  <si>
    <t>Auditoría de Procesos</t>
  </si>
  <si>
    <t>Auditoría Procesos</t>
  </si>
  <si>
    <t>Auditoría Financiera y Administrativa</t>
  </si>
  <si>
    <t>Auditoría Financiera / Administrativa</t>
  </si>
  <si>
    <t>Auditoría Forense</t>
  </si>
  <si>
    <t>Auditorías Especiales</t>
  </si>
  <si>
    <t>Banca Institucional</t>
  </si>
  <si>
    <t>Banca Personal</t>
  </si>
  <si>
    <t>Caja y Valores</t>
  </si>
  <si>
    <t>Caja Valores</t>
  </si>
  <si>
    <t>Canales Alternos</t>
  </si>
  <si>
    <t>Captaciones y Pagaduría</t>
  </si>
  <si>
    <t>Captaciones / Pagaduría</t>
  </si>
  <si>
    <t>Cobranzas y Recuperaciones</t>
  </si>
  <si>
    <t>Cobranzas / Recuperaciones</t>
  </si>
  <si>
    <t>Compensaciones</t>
  </si>
  <si>
    <t>Compras</t>
  </si>
  <si>
    <t>Conducta de Mercado</t>
  </si>
  <si>
    <t>Construcción de Aplicaciones</t>
  </si>
  <si>
    <t>Construcción</t>
  </si>
  <si>
    <t>Contabilidad</t>
  </si>
  <si>
    <t>Cumplimiento Normativo e Integridad</t>
  </si>
  <si>
    <t>Cumplimiento Normativo</t>
  </si>
  <si>
    <t>Datos y Análitica Avanzada</t>
  </si>
  <si>
    <t>Analítica Avanzada</t>
  </si>
  <si>
    <t>Desarrollo del Talento</t>
  </si>
  <si>
    <t>Talento</t>
  </si>
  <si>
    <t>Desarrollo Organizacional</t>
  </si>
  <si>
    <t>Organizacional</t>
  </si>
  <si>
    <t>Estudios Económicos y Financieros</t>
  </si>
  <si>
    <t>Económicos / Financieros</t>
  </si>
  <si>
    <t>Gestión de la Calidad</t>
  </si>
  <si>
    <t>Calidad</t>
  </si>
  <si>
    <t>Gestión del Cliente</t>
  </si>
  <si>
    <t>Gestión Cliente</t>
  </si>
  <si>
    <t>Inclusión Financiera</t>
  </si>
  <si>
    <t>Infraestructura</t>
  </si>
  <si>
    <t>Innovación Digital</t>
  </si>
  <si>
    <t>Internacional</t>
  </si>
  <si>
    <t>Macroregión I - Piura</t>
  </si>
  <si>
    <t>Macroregión Piura</t>
  </si>
  <si>
    <t>Macroregión II - Trujillo</t>
  </si>
  <si>
    <t>Macroregión Trujillo</t>
  </si>
  <si>
    <t>Macroregión III - Huancayo</t>
  </si>
  <si>
    <t>Macroregión Huancayo</t>
  </si>
  <si>
    <t>Macroregión IV - Cusco</t>
  </si>
  <si>
    <t>Macroregión Cusco</t>
  </si>
  <si>
    <t>Macroregión Lima</t>
  </si>
  <si>
    <t>Macroregión V - Arequipa</t>
  </si>
  <si>
    <t>Macroregión Arequipa</t>
  </si>
  <si>
    <t>Macroregión VI - Iquitos</t>
  </si>
  <si>
    <t>Macroregión Iquitos</t>
  </si>
  <si>
    <t>Mesa de Dinero</t>
  </si>
  <si>
    <t>Mesa Dinero</t>
  </si>
  <si>
    <t>Oficina de Proyectos y Procesos de TIC</t>
  </si>
  <si>
    <t>OPP</t>
  </si>
  <si>
    <t>Oficina de Seguridad Informática</t>
  </si>
  <si>
    <t>Prensa Institucional</t>
  </si>
  <si>
    <t>Presupuesto</t>
  </si>
  <si>
    <t>Prevención del Fraude</t>
  </si>
  <si>
    <t>Prevención Fraude</t>
  </si>
  <si>
    <t>Productos Pasivos</t>
  </si>
  <si>
    <t>Publicidad y Posicionamiento de Marca</t>
  </si>
  <si>
    <t>Publicidad</t>
  </si>
  <si>
    <t>Riesgos Crediticios y Financieros</t>
  </si>
  <si>
    <t>Riesgos Crediticios</t>
  </si>
  <si>
    <t>Riesgos de Operaciones y Tecnología</t>
  </si>
  <si>
    <t>Riesgos Operaciones / Tecnología</t>
  </si>
  <si>
    <t>Seguridad</t>
  </si>
  <si>
    <t>Servicios</t>
  </si>
  <si>
    <t>Servicios Bancarios y Recaudación</t>
  </si>
  <si>
    <t>Servicios Bancarios</t>
  </si>
  <si>
    <t>Areas de TI</t>
  </si>
  <si>
    <t>Soporte de la Infraestructura Tecnológica</t>
  </si>
  <si>
    <t>Soporte</t>
  </si>
  <si>
    <t>Ciberseguridad</t>
  </si>
  <si>
    <t>Control de Operaciones de Ciberseguridad</t>
  </si>
  <si>
    <t>Control de Operaciones</t>
  </si>
  <si>
    <t>GestIón Administrativa y Procesos de TIC</t>
  </si>
  <si>
    <t>Administrativa</t>
  </si>
  <si>
    <t>Demanda y Proyectos</t>
  </si>
  <si>
    <t>Demanda</t>
  </si>
  <si>
    <t>Arquitectura de Datos y Aplicaciones</t>
  </si>
  <si>
    <t>Arquitectura Datos / Aplicaciones</t>
  </si>
  <si>
    <t>Arquitectura Tecnológica</t>
  </si>
  <si>
    <t>Control de Calidad</t>
  </si>
  <si>
    <t>Atención a Usuario</t>
  </si>
  <si>
    <t>Atención Usuario</t>
  </si>
  <si>
    <t>Operaciones de la Infraestructura Tecnológica</t>
  </si>
  <si>
    <t>Operaciones de Infraestructura</t>
  </si>
  <si>
    <t>Canal de atención</t>
  </si>
  <si>
    <t>Agente Multired</t>
  </si>
  <si>
    <t>Págalo.pe (APP-Web)</t>
  </si>
  <si>
    <t>Multired Virtual (Web)</t>
  </si>
  <si>
    <t>Call Center</t>
  </si>
  <si>
    <t>Pasarela de Pagos Web</t>
  </si>
  <si>
    <t>POS</t>
  </si>
  <si>
    <t>BIM</t>
  </si>
  <si>
    <t>Plataforma SUNAT</t>
  </si>
  <si>
    <t>E-Commerce</t>
  </si>
  <si>
    <t xml:space="preserve">Crédito Documentario </t>
  </si>
  <si>
    <t xml:space="preserve">Carta Fianza </t>
  </si>
  <si>
    <t xml:space="preserve">Garantía Bancaria Contragarantizada </t>
  </si>
  <si>
    <t xml:space="preserve">Carta Fianza Contragarantizada </t>
  </si>
  <si>
    <t>Carta de Crédito Standby</t>
  </si>
  <si>
    <t>Renta Fija</t>
  </si>
  <si>
    <t xml:space="preserve">Compensación por Tiempo de Servicios </t>
  </si>
  <si>
    <t xml:space="preserve">Depósitos a Plazo Fijo </t>
  </si>
  <si>
    <t>Depósitos en Garantía</t>
  </si>
  <si>
    <t xml:space="preserve">Certificados Bancarios </t>
  </si>
  <si>
    <t xml:space="preserve">Giros </t>
  </si>
  <si>
    <t>Seguros</t>
  </si>
  <si>
    <t>Compra y venta de moneda</t>
  </si>
  <si>
    <t xml:space="preserve">Custodia de valores </t>
  </si>
  <si>
    <t xml:space="preserve">Pagos </t>
  </si>
  <si>
    <t xml:space="preserve">Tarjeta de Crédito Foránea </t>
  </si>
  <si>
    <t xml:space="preserve">Cobranzas </t>
  </si>
  <si>
    <t>Registro de Datos / Entrega de Documentos</t>
  </si>
  <si>
    <t xml:space="preserve">Fideicomisos y Comisiones de Confianza </t>
  </si>
  <si>
    <t xml:space="preserve">Oficinas Compartidas </t>
  </si>
  <si>
    <t>Aplicativos</t>
  </si>
  <si>
    <t>Nombre Corto</t>
  </si>
  <si>
    <t>AFCS-Adm. Formularios de Consultas y Sugerencias</t>
  </si>
  <si>
    <t>BackOffice</t>
  </si>
  <si>
    <t>AHME-Deposito Ahorros</t>
  </si>
  <si>
    <t>AHSB-Formatos SBS</t>
  </si>
  <si>
    <t>AHTS-Depositos CTS</t>
  </si>
  <si>
    <t>ATCA-Adm.Tarjetas Cajero Automático</t>
  </si>
  <si>
    <t>ATM-Agentes-VISA</t>
  </si>
  <si>
    <t>BIBL-Gestión y Consulta de Biblioteca-BN</t>
  </si>
  <si>
    <t>BNDA-Data Analítica BN</t>
  </si>
  <si>
    <t>BNKT - Sistema de Comercio Exterior</t>
  </si>
  <si>
    <t>BNWS-Servicios Web Banco de la Nación</t>
  </si>
  <si>
    <t>CCME_Cheques Certficados ME</t>
  </si>
  <si>
    <t>CCTE-Adm. Autorizaciones Individuales</t>
  </si>
  <si>
    <t>CGME-Cheques de Gerencia ME.</t>
  </si>
  <si>
    <t>CO84-Asiento contable de cada transacción-COF84</t>
  </si>
  <si>
    <t>COBD-Contabilidad-RCD</t>
  </si>
  <si>
    <t>COCE-Emision Comprobantes Electronicos</t>
  </si>
  <si>
    <t>COGT-Contabilidad General Transacciones</t>
  </si>
  <si>
    <t>COMP - Sistema de config. parámetros globales</t>
  </si>
  <si>
    <t>CRHP-Sistema Creditos Hipotecarios</t>
  </si>
  <si>
    <t>Créditos Hipotecarios</t>
  </si>
  <si>
    <t>CRMY-Créditos MIPES</t>
  </si>
  <si>
    <t>CRPP- Cobranzas Municipales</t>
  </si>
  <si>
    <t>DEJA-Depositos judiciales y administrativos</t>
  </si>
  <si>
    <t>DJAE_Depositos Judiciales Adm de Embargo</t>
  </si>
  <si>
    <t>DPAH- Deposito de Ahorros MN</t>
  </si>
  <si>
    <t>DPDE - Administración de Dinero Electrónico</t>
  </si>
  <si>
    <t>ECAI_Estado de Cuentas de Ahorro Intranet</t>
  </si>
  <si>
    <t>ECCI_Estados de Ctas Ctes x Intranet</t>
  </si>
  <si>
    <t>ECOF_Reporte Ecoeficiencia</t>
  </si>
  <si>
    <t>ESPL - ESPLINK Servidor STRATUS</t>
  </si>
  <si>
    <t>EXTR - Transf. al  exterior via SWIFT</t>
  </si>
  <si>
    <t>FIAD-Fideicomisos Administración</t>
  </si>
  <si>
    <t>FICO_Fideicomisos</t>
  </si>
  <si>
    <t>FIOD - Finanzas Operaciones Diarias</t>
  </si>
  <si>
    <t>FISA-Finanzas Saldos</t>
  </si>
  <si>
    <t>FISE Finanzas Sectorizacion</t>
  </si>
  <si>
    <t>FIWE_Fideicomisos Web</t>
  </si>
  <si>
    <t>FOTK-Mantenimiento de Fotochecks</t>
  </si>
  <si>
    <t>GGFT-Fideicomiso de Telefonica</t>
  </si>
  <si>
    <t>GTGI-Giros y Transferencias Moneda Nacional</t>
  </si>
  <si>
    <t>IMCA-IMPRESION DE CARTILLAS</t>
  </si>
  <si>
    <t>INCA - Interfaz Cajeros automaticos</t>
  </si>
  <si>
    <t>LADI-Lavado de Dinero</t>
  </si>
  <si>
    <t>LBTR-Liquidación Bruta en Tiempo Real</t>
  </si>
  <si>
    <t>LICA-Lista Integral de Chequeo de Agencias</t>
  </si>
  <si>
    <t>MEDH-Depositos Garantia ME</t>
  </si>
  <si>
    <t>MERD_Remesas en Moneda Extranjera</t>
  </si>
  <si>
    <t>MFTP-Módulo Fideicomisos Telefónica del Perú</t>
  </si>
  <si>
    <t>MGIN -  Módulgo Gestión de Incidencias</t>
  </si>
  <si>
    <t>MVPE-Multired Virtual para Empresas</t>
  </si>
  <si>
    <t>MWBM -Modulo Web Banca Movil</t>
  </si>
  <si>
    <t>OPCF - Operaciones conciliación facturas ETVs</t>
  </si>
  <si>
    <t>OSAI -: Oracle Sistema Administrativo Integrado</t>
  </si>
  <si>
    <t>Oracle</t>
  </si>
  <si>
    <t>PCDI-Proyecto Cuenta DNI</t>
  </si>
  <si>
    <t>Cuenta DNI</t>
  </si>
  <si>
    <t>PGCL - Proyecto Gestión de Contartos Logistica</t>
  </si>
  <si>
    <t>PGCO-Pago de Comisiones</t>
  </si>
  <si>
    <t>PGOL-Pagos En Línea</t>
  </si>
  <si>
    <t>PGSG-Pagos Seguros(Oncológico-Sepelio)</t>
  </si>
  <si>
    <t>PITF-Pagos de ITF</t>
  </si>
  <si>
    <t>POAD_Administración_Portal_Empleado</t>
  </si>
  <si>
    <t>POAH  Registro Unico de Poderes</t>
  </si>
  <si>
    <t>POEM_Portal del Empleado</t>
  </si>
  <si>
    <t>PRAH - Prestamos Multired</t>
  </si>
  <si>
    <t>PRCA- Prestamos Corresponsalia Agro</t>
  </si>
  <si>
    <t>PSAI-Proyecto Mantenimiento SAI</t>
  </si>
  <si>
    <t>READ-Recaudacion Aduanas</t>
  </si>
  <si>
    <t>RECA-Recaudacion</t>
  </si>
  <si>
    <t>RECC-Recaudación Cobranza Coactiva</t>
  </si>
  <si>
    <t>REPA- Recaudacion Proceso Batch</t>
  </si>
  <si>
    <t>RHAS-Recursos Humanos Asistencia</t>
  </si>
  <si>
    <t>RHDL- Recursos humanos datos laborale</t>
  </si>
  <si>
    <t>RHPP- Recursos humanos planillas</t>
  </si>
  <si>
    <t>SABM - Sistema Atencion Banca Movil</t>
  </si>
  <si>
    <t>Banca Movil</t>
  </si>
  <si>
    <t>SABMWEB-Modulo Administrativo SABM</t>
  </si>
  <si>
    <t>SACL_Atención Clientes x Internet</t>
  </si>
  <si>
    <t>SAHE-Sistema de Administracion Horas Extras</t>
  </si>
  <si>
    <t>SARE_Atención de Reclamos</t>
  </si>
  <si>
    <t>SATI-Sistema ATI</t>
  </si>
  <si>
    <t>Multired Virtual</t>
  </si>
  <si>
    <t>Ventanilla</t>
  </si>
  <si>
    <t>SCAJ-Sistema de Cajeros</t>
  </si>
  <si>
    <t>SCRE_Sistema Consultas de Reniec</t>
  </si>
  <si>
    <t>SENT-Proyecto Sentinel</t>
  </si>
  <si>
    <t>Extractores de Sentinel</t>
  </si>
  <si>
    <t>SGAC-Sistema de Gestión Archivo Central</t>
  </si>
  <si>
    <t>SGAT-Sistema Gestión de Cajeros ATM</t>
  </si>
  <si>
    <t>SGCN-Sistema de Gestion de cumplimiento Normativo</t>
  </si>
  <si>
    <t>SGHU -  Sistema Gestor de Huella</t>
  </si>
  <si>
    <t>SHUB_Hub de Integración</t>
  </si>
  <si>
    <t>SIAN-Sistema de Anexos</t>
  </si>
  <si>
    <t>SIAT - Sistema de Atributos</t>
  </si>
  <si>
    <t>SICA-Sistema de Canje Electronico</t>
  </si>
  <si>
    <t>SICP-Sistema Cero Papel</t>
  </si>
  <si>
    <t>SICT-Sistema de Informacón de Cuentas Corrientes</t>
  </si>
  <si>
    <t>SIER - Eestado De La Red Sucursales y Agencias</t>
  </si>
  <si>
    <t>SIFA-Sistema de Facturas</t>
  </si>
  <si>
    <t>SIMS-Software de Envío de Correos Electrónicos</t>
  </si>
  <si>
    <t>SIMU_Simuladores Web</t>
  </si>
  <si>
    <t>SIPT_Posición Clientes</t>
  </si>
  <si>
    <t>SITB-Sistema de Transacciones Bancarias</t>
  </si>
  <si>
    <t>Clientes (BDUC)</t>
  </si>
  <si>
    <t>SIVA-Sistema Interno de Valoración de Aporte</t>
  </si>
  <si>
    <t>SIVA-Sistema Valorización de Aporte</t>
  </si>
  <si>
    <t>SIVC - Sistema de Valores en Custodia</t>
  </si>
  <si>
    <t>SLSB - Sist. Levantamiento Secreto Bancario</t>
  </si>
  <si>
    <t>SOMP – SISTEMA DE OPERACIONES MULTIPAGOS</t>
  </si>
  <si>
    <t>Pagalo.pe</t>
  </si>
  <si>
    <t>SPCL-Sistema de Posición de Clientes</t>
  </si>
  <si>
    <t>SPPP-Sistema Pago de Planillas de la PNP</t>
  </si>
  <si>
    <t>SSMC-Sistema de Seguimiento de Medidas Correctivas</t>
  </si>
  <si>
    <t>STCL-Sistema de Claves</t>
  </si>
  <si>
    <t>STD4 - Actualización del STD a la versión 4.0</t>
  </si>
  <si>
    <t>STDQ_Tramite Documentario</t>
  </si>
  <si>
    <t>STRA - Proyecto de Stratus</t>
  </si>
  <si>
    <t>TINL - SISTEMAS DE COMUNICACIÓN TRANSFER EN LINEA</t>
  </si>
  <si>
    <t>TMIN-Tarjeta Multired Interfaces</t>
  </si>
  <si>
    <t>TOLD-Sistema Despachador de Transacciones</t>
  </si>
  <si>
    <t>VIBF-Validación de Identidad con Biometría Facial</t>
  </si>
  <si>
    <t>WSCR_WS_Consulta_Recaudaciones</t>
  </si>
  <si>
    <t>INICIATIVAS DE PROYECTOS</t>
  </si>
  <si>
    <t>Columna1</t>
  </si>
  <si>
    <t>Acta</t>
  </si>
  <si>
    <t>Sistema de Planillas</t>
  </si>
  <si>
    <t>María Bussalleu</t>
  </si>
  <si>
    <t>Sistema Planillas</t>
  </si>
  <si>
    <t>01. NO INICIADO</t>
  </si>
  <si>
    <t>Proyecto Tokenización</t>
  </si>
  <si>
    <t>Carlos Quevedo</t>
  </si>
  <si>
    <t>Tokenización</t>
  </si>
  <si>
    <t>Proyecto PCI</t>
  </si>
  <si>
    <t>PCI</t>
  </si>
  <si>
    <t>Mejoras de TI</t>
  </si>
  <si>
    <t>Gestor Documentario y agente inteligente para firmas digitales</t>
  </si>
  <si>
    <t>Edinson Díaz</t>
  </si>
  <si>
    <t>Firmas digitales</t>
  </si>
  <si>
    <t>Renovación de Equipamientos en Agencias y Marcha Blanca del Despliegue de nueva versión de Saraweb 64 bits</t>
  </si>
  <si>
    <t>Nueva Saraweb 64 bits</t>
  </si>
  <si>
    <t>Proyecto Habilitación de disponibilidad de los servicios críticos en el centro de cómputo anti desastres de Chiclayo (Etapa I)</t>
  </si>
  <si>
    <t>Centro de Cómputo Chiclayo</t>
  </si>
  <si>
    <t>Préstamos Mi Vivienda</t>
  </si>
  <si>
    <t>(*) Pendiente de ser aprobados en comité ejecutivo de proyectos</t>
  </si>
  <si>
    <t>Inicio Desarrollo</t>
  </si>
  <si>
    <t>Fin desarrollo</t>
  </si>
  <si>
    <t>Inicio Calidad</t>
  </si>
  <si>
    <t>Fin Calidad</t>
  </si>
  <si>
    <t>Inicio Producciòn</t>
  </si>
  <si>
    <t>Fin Producciòn</t>
  </si>
  <si>
    <t>Últ. Estado CQ 17.03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</si>
</sst>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quot;S/&quot;\ #,##0.00"/>
    <numFmt numFmtId="166" formatCode="dd/mm/yyyy;@"/>
    <numFmt numFmtId="167" formatCode="m/d/yyyy"/>
  </numFmts>
  <fonts count="58">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2"/>
      <color rgb="FFFFFFFF"/>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b/>
      <sz val="12"/>
      <name val="Calibri"/>
      <family val="2"/>
      <scheme val="minor"/>
    </font>
    <font>
      <i/>
      <sz val="8"/>
      <color theme="1"/>
      <name val="Calibri"/>
      <family val="2"/>
      <scheme val="minor"/>
    </font>
    <font>
      <sz val="12"/>
      <color theme="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b/>
      <sz val="10"/>
      <color rgb="FF1923EB"/>
      <name val="Calibri"/>
      <family val="2"/>
      <scheme val="minor"/>
    </font>
    <font>
      <b/>
      <sz val="10"/>
      <color rgb="FFFF0000"/>
      <name val="Calibri"/>
      <family val="2"/>
      <scheme val="minor"/>
    </font>
    <font>
      <sz val="11"/>
      <color rgb="FF000000"/>
      <name val="Calibri"/>
      <family val="2"/>
    </font>
    <font>
      <sz val="10"/>
      <color rgb="FF000000"/>
      <name val="Arial"/>
      <family val="2"/>
    </font>
    <font>
      <sz val="10"/>
      <color rgb="FFFF0000"/>
      <name val="Calibri"/>
      <family val="2"/>
      <scheme val="minor"/>
    </font>
    <font>
      <sz val="11"/>
      <name val="Calibri"/>
      <family val="2"/>
    </font>
    <font>
      <b/>
      <sz val="16"/>
      <color theme="0"/>
      <name val="Calibri"/>
      <family val="2"/>
      <scheme val="minor"/>
    </font>
    <font>
      <sz val="11"/>
      <color theme="1"/>
      <name val="Arial"/>
      <family val="2"/>
    </font>
    <font>
      <sz val="10"/>
      <name val="Calibri"/>
      <family val="2"/>
      <scheme val="minor"/>
    </font>
    <font>
      <b/>
      <sz val="10"/>
      <color rgb="FFFFFFFF"/>
      <name val="Arial"/>
      <family val="2"/>
    </font>
    <font>
      <b/>
      <sz val="10"/>
      <color theme="0"/>
      <name val="Arial"/>
      <family val="2"/>
    </font>
    <font>
      <sz val="10"/>
      <name val="Arial"/>
      <family val="2"/>
    </font>
    <font>
      <b/>
      <u/>
      <sz val="20"/>
      <color theme="1"/>
      <name val="Calibri"/>
      <family val="2"/>
      <scheme val="minor"/>
    </font>
    <font>
      <sz val="20"/>
      <color theme="1"/>
      <name val="Calibri"/>
      <family val="2"/>
      <scheme val="minor"/>
    </font>
    <font>
      <b/>
      <sz val="14"/>
      <color theme="1"/>
      <name val="Calibri"/>
      <family val="2"/>
      <scheme val="minor"/>
    </font>
    <font>
      <sz val="14"/>
      <color theme="1"/>
      <name val="Calibri"/>
      <family val="2"/>
      <scheme val="minor"/>
    </font>
    <font>
      <b/>
      <sz val="10"/>
      <name val="Calibri"/>
      <family val="2"/>
      <scheme val="minor"/>
    </font>
    <font>
      <sz val="10"/>
      <color theme="1"/>
      <name val="Calibri"/>
      <scheme val="minor"/>
    </font>
    <font>
      <sz val="10"/>
      <color rgb="FF1923EB"/>
      <name val="Calibri"/>
      <family val="2"/>
      <scheme val="minor"/>
    </font>
    <font>
      <sz val="10"/>
      <color rgb="FF000000"/>
      <name val="Calibri"/>
      <family val="2"/>
    </font>
    <font>
      <sz val="10"/>
      <name val="Calibri"/>
      <family val="2"/>
    </font>
    <font>
      <b/>
      <sz val="10"/>
      <color rgb="FF000000"/>
      <name val="Calibri"/>
      <family val="2"/>
      <scheme val="minor"/>
    </font>
    <font>
      <u/>
      <sz val="11"/>
      <color theme="10"/>
      <name val="Calibri"/>
      <family val="2"/>
      <scheme val="minor"/>
    </font>
    <font>
      <sz val="11"/>
      <color rgb="FF000000"/>
      <name val="Calibri"/>
    </font>
    <font>
      <b/>
      <sz val="11"/>
      <color rgb="FFFFFFFF"/>
      <name val="Calibri"/>
    </font>
    <font>
      <sz val="10"/>
      <color rgb="FFFF0000"/>
      <name val="Calibri"/>
      <scheme val="minor"/>
    </font>
    <font>
      <sz val="10"/>
      <color rgb="FF000000"/>
      <name val="Calibri"/>
      <scheme val="minor"/>
    </font>
    <font>
      <sz val="10"/>
      <name val="Arial Narrow"/>
    </font>
    <font>
      <b/>
      <sz val="10"/>
      <name val="Arial"/>
      <family val="2"/>
    </font>
    <font>
      <sz val="10"/>
      <color rgb="FFFF0000"/>
      <name val="Arial"/>
      <family val="2"/>
    </font>
    <font>
      <b/>
      <sz val="10"/>
      <color rgb="FFFF0000"/>
      <name val="Arial"/>
      <family val="2"/>
    </font>
    <font>
      <b/>
      <sz val="10"/>
      <color rgb="FF1923EB"/>
      <name val="Calibri"/>
    </font>
    <font>
      <b/>
      <sz val="10"/>
      <color rgb="FF4472C4"/>
      <name val="Calibri"/>
    </font>
    <font>
      <b/>
      <sz val="10"/>
      <color rgb="FF000000"/>
      <name val="Calibri"/>
    </font>
    <font>
      <sz val="8"/>
      <name val="Calibri"/>
      <family val="2"/>
      <scheme val="minor"/>
    </font>
    <font>
      <b/>
      <sz val="10"/>
      <color rgb="FFFF0000"/>
      <name val="Arial"/>
    </font>
    <font>
      <sz val="10"/>
      <color rgb="FFFF0000"/>
      <name val="Arial"/>
    </font>
    <font>
      <b/>
      <sz val="10"/>
      <color rgb="FF1923EB"/>
      <name val="Arial Narrow"/>
    </font>
    <font>
      <sz val="10"/>
      <color rgb="FF000000"/>
      <name val="Calibri"/>
    </font>
    <font>
      <b/>
      <sz val="10"/>
      <color rgb="FF0070C0"/>
      <name val="Calibri"/>
      <family val="2"/>
      <scheme val="minor"/>
    </font>
    <font>
      <b/>
      <sz val="10"/>
      <color rgb="FFFFFFFF"/>
      <name val="Calibri"/>
      <family val="2"/>
    </font>
    <font>
      <b/>
      <sz val="10"/>
      <color rgb="FF000000"/>
      <name val="Arial"/>
      <family val="2"/>
    </font>
  </fonts>
  <fills count="48">
    <fill>
      <patternFill patternType="none"/>
    </fill>
    <fill>
      <patternFill patternType="gray125"/>
    </fill>
    <fill>
      <patternFill patternType="solid">
        <fgColor rgb="FFFFFFFF"/>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tint="-0.14999847407452621"/>
        <bgColor theme="0" tint="-0.14999847407452621"/>
      </patternFill>
    </fill>
    <fill>
      <patternFill patternType="solid">
        <fgColor rgb="FFFFFF00"/>
        <bgColor indexed="64"/>
      </patternFill>
    </fill>
    <fill>
      <patternFill patternType="solid">
        <fgColor rgb="FF1E4E79"/>
        <bgColor indexed="64"/>
      </patternFill>
    </fill>
    <fill>
      <patternFill patternType="solid">
        <fgColor theme="6" tint="0.79998168889431442"/>
        <bgColor indexed="64"/>
      </patternFill>
    </fill>
    <fill>
      <patternFill patternType="solid">
        <fgColor rgb="FF002060"/>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C000"/>
        <bgColor rgb="FFFFC000"/>
      </patternFill>
    </fill>
    <fill>
      <patternFill patternType="solid">
        <fgColor rgb="FF00B0F0"/>
        <bgColor indexed="64"/>
      </patternFill>
    </fill>
    <fill>
      <patternFill patternType="solid">
        <fgColor rgb="FF7030A0"/>
        <bgColor indexed="64"/>
      </patternFill>
    </fill>
    <fill>
      <patternFill patternType="solid">
        <fgColor rgb="FF203764"/>
        <bgColor rgb="FF000000"/>
      </patternFill>
    </fill>
    <fill>
      <patternFill patternType="solid">
        <fgColor rgb="FF00B050"/>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rgb="FF1923EB"/>
        <bgColor indexed="64"/>
      </patternFill>
    </fill>
    <fill>
      <patternFill patternType="solid">
        <fgColor theme="9" tint="0.79998168889431442"/>
        <bgColor indexed="64"/>
      </patternFill>
    </fill>
    <fill>
      <patternFill patternType="solid">
        <fgColor theme="8" tint="-0.499984740745262"/>
        <bgColor indexed="64"/>
      </patternFill>
    </fill>
    <fill>
      <patternFill patternType="solid">
        <fgColor rgb="FFD9D9D9"/>
        <bgColor rgb="FFD9D9D9"/>
      </patternFill>
    </fill>
    <fill>
      <patternFill patternType="solid">
        <fgColor rgb="FF000000"/>
        <bgColor rgb="FF000000"/>
      </patternFill>
    </fill>
    <fill>
      <patternFill patternType="solid">
        <fgColor theme="8"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E099DE"/>
        <bgColor indexed="64"/>
      </patternFill>
    </fill>
    <fill>
      <patternFill patternType="solid">
        <fgColor rgb="FFDB7676"/>
        <bgColor indexed="64"/>
      </patternFill>
    </fill>
    <fill>
      <patternFill patternType="solid">
        <fgColor rgb="FF8EAB65"/>
        <bgColor indexed="64"/>
      </patternFill>
    </fill>
    <fill>
      <patternFill patternType="solid">
        <fgColor rgb="FF6EAEE6"/>
        <bgColor indexed="64"/>
      </patternFill>
    </fill>
    <fill>
      <patternFill patternType="solid">
        <fgColor theme="8"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rgb="FFFFE082"/>
        <bgColor indexed="64"/>
      </patternFill>
    </fill>
    <fill>
      <patternFill patternType="solid">
        <fgColor rgb="FFC00000"/>
        <bgColor rgb="FF000000"/>
      </patternFill>
    </fill>
    <fill>
      <patternFill patternType="solid">
        <fgColor rgb="FFFFFFFF"/>
        <bgColor rgb="FF000000"/>
      </patternFill>
    </fill>
    <fill>
      <patternFill patternType="solid">
        <fgColor theme="2"/>
        <bgColor indexed="64"/>
      </patternFill>
    </fill>
  </fills>
  <borders count="66">
    <border>
      <left/>
      <right/>
      <top/>
      <bottom/>
      <diagonal/>
    </border>
    <border>
      <left style="medium">
        <color rgb="FFD9D9D9"/>
      </left>
      <right style="medium">
        <color rgb="FFD9D9D9"/>
      </right>
      <top style="medium">
        <color rgb="FFD9D9D9"/>
      </top>
      <bottom style="mediumDashed">
        <color rgb="FFFF0000"/>
      </bottom>
      <diagonal/>
    </border>
    <border>
      <left style="medium">
        <color rgb="FFD9D9D9"/>
      </left>
      <right style="mediumDashed">
        <color rgb="FFFF0000"/>
      </right>
      <top style="mediumDashed">
        <color rgb="FFFF0000"/>
      </top>
      <bottom style="mediumDashed">
        <color rgb="FFFF0000"/>
      </bottom>
      <diagonal/>
    </border>
    <border>
      <left style="mediumDashed">
        <color rgb="FFFF0000"/>
      </left>
      <right style="medium">
        <color rgb="FFD9D9D9"/>
      </right>
      <top style="mediumDashed">
        <color rgb="FFFF0000"/>
      </top>
      <bottom style="mediumDashed">
        <color rgb="FFFF0000"/>
      </bottom>
      <diagonal/>
    </border>
    <border>
      <left style="medium">
        <color rgb="FFD9D9D9"/>
      </left>
      <right style="medium">
        <color rgb="FFD9D9D9"/>
      </right>
      <top style="mediumDashed">
        <color rgb="FFFF0000"/>
      </top>
      <bottom style="mediumDashed">
        <color rgb="FFFF0000"/>
      </bottom>
      <diagonal/>
    </border>
    <border>
      <left style="mediumDashed">
        <color rgb="FFFF0000"/>
      </left>
      <right style="mediumDashed">
        <color rgb="FFFF0000"/>
      </right>
      <top style="mediumDashed">
        <color rgb="FFFF0000"/>
      </top>
      <bottom style="mediumDashed">
        <color rgb="FFFF0000"/>
      </bottom>
      <diagonal/>
    </border>
    <border>
      <left style="medium">
        <color rgb="FFD9D9D9"/>
      </left>
      <right style="medium">
        <color rgb="FFD9D9D9"/>
      </right>
      <top style="mediumDashed">
        <color rgb="FFFF0000"/>
      </top>
      <bottom style="medium">
        <color rgb="FFD9D9D9"/>
      </bottom>
      <diagonal/>
    </border>
    <border>
      <left style="mediumDashed">
        <color rgb="FFFF0000"/>
      </left>
      <right style="medium">
        <color rgb="FFD9D9D9"/>
      </right>
      <top style="mediumDashed">
        <color rgb="FFFF0000"/>
      </top>
      <bottom/>
      <diagonal/>
    </border>
    <border>
      <left style="mediumDashed">
        <color rgb="FFFF0000"/>
      </left>
      <right style="medium">
        <color rgb="FFD9D9D9"/>
      </right>
      <top/>
      <bottom/>
      <diagonal/>
    </border>
    <border>
      <left style="mediumDashed">
        <color rgb="FFFF0000"/>
      </left>
      <right style="medium">
        <color rgb="FFD9D9D9"/>
      </right>
      <top/>
      <bottom style="mediumDashed">
        <color rgb="FFFF0000"/>
      </bottom>
      <diagonal/>
    </border>
    <border>
      <left style="medium">
        <color rgb="FFD9D9D9"/>
      </left>
      <right style="medium">
        <color rgb="FFD9D9D9"/>
      </right>
      <top/>
      <bottom/>
      <diagonal/>
    </border>
    <border>
      <left/>
      <right style="medium">
        <color rgb="FFD9D9D9"/>
      </right>
      <top style="mediumDashed">
        <color rgb="FFFF0000"/>
      </top>
      <bottom style="mediumDashed">
        <color rgb="FFFF0000"/>
      </bottom>
      <diagonal/>
    </border>
    <border>
      <left style="medium">
        <color rgb="FFD9D9D9"/>
      </left>
      <right/>
      <top style="mediumDashed">
        <color rgb="FFFF0000"/>
      </top>
      <bottom style="mediumDashed">
        <color rgb="FFFF0000"/>
      </bottom>
      <diagonal/>
    </border>
    <border>
      <left style="medium">
        <color rgb="FFD9D9D9"/>
      </left>
      <right style="slantDashDot">
        <color rgb="FFD9D9D9"/>
      </right>
      <top/>
      <bottom/>
      <diagonal/>
    </border>
    <border>
      <left style="slantDashDot">
        <color rgb="FFD9D9D9"/>
      </left>
      <right style="slantDashDot">
        <color rgb="FFD9D9D9"/>
      </right>
      <top/>
      <bottom/>
      <diagonal/>
    </border>
    <border>
      <left style="slantDashDot">
        <color rgb="FFD9D9D9"/>
      </left>
      <right style="medium">
        <color rgb="FFD9D9D9"/>
      </right>
      <top/>
      <bottom/>
      <diagonal/>
    </border>
    <border>
      <left style="mediumDashDot">
        <color theme="0" tint="-0.24994659260841701"/>
      </left>
      <right style="mediumDashDot">
        <color theme="0" tint="-0.24994659260841701"/>
      </right>
      <top style="mediumDashDot">
        <color theme="0" tint="-0.24994659260841701"/>
      </top>
      <bottom/>
      <diagonal/>
    </border>
    <border>
      <left style="mediumDashDot">
        <color theme="0" tint="-0.24994659260841701"/>
      </left>
      <right style="mediumDashDot">
        <color theme="0" tint="-0.24994659260841701"/>
      </right>
      <top/>
      <bottom/>
      <diagonal/>
    </border>
    <border>
      <left style="mediumDashDot">
        <color theme="0" tint="-0.24994659260841701"/>
      </left>
      <right style="mediumDashDot">
        <color theme="0" tint="-0.24994659260841701"/>
      </right>
      <top/>
      <bottom style="mediumDashDot">
        <color theme="0" tint="-0.24994659260841701"/>
      </bottom>
      <diagonal/>
    </border>
    <border>
      <left/>
      <right/>
      <top/>
      <bottom style="dashDot">
        <color indexed="64"/>
      </bottom>
      <diagonal/>
    </border>
    <border>
      <left/>
      <right style="medium">
        <color rgb="FFD9D9D9"/>
      </right>
      <top style="mediumDashed">
        <color rgb="FF0070C0"/>
      </top>
      <bottom style="mediumDashed">
        <color rgb="FF0070C0"/>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9BC2E6"/>
      </bottom>
      <diagonal/>
    </border>
    <border>
      <left style="thin">
        <color indexed="64"/>
      </left>
      <right style="thin">
        <color indexed="64"/>
      </right>
      <top/>
      <bottom/>
      <diagonal/>
    </border>
    <border>
      <left style="dashDot">
        <color indexed="64"/>
      </left>
      <right style="dashDot">
        <color indexed="64"/>
      </right>
      <top style="dashDot">
        <color indexed="64"/>
      </top>
      <bottom style="dashDot">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1"/>
      </top>
      <bottom style="thin">
        <color theme="1"/>
      </bottom>
      <diagonal/>
    </border>
    <border>
      <left/>
      <right/>
      <top/>
      <bottom style="thin">
        <color theme="1"/>
      </bottom>
      <diagonal/>
    </border>
    <border>
      <left/>
      <right/>
      <top style="thin">
        <color theme="1"/>
      </top>
      <bottom/>
      <diagonal/>
    </border>
    <border>
      <left/>
      <right style="thin">
        <color theme="4" tint="0.39997558519241921"/>
      </right>
      <top/>
      <bottom/>
      <diagonal/>
    </border>
    <border>
      <left/>
      <right/>
      <top style="thin">
        <color indexed="64"/>
      </top>
      <bottom style="thin">
        <color indexed="64"/>
      </bottom>
      <diagonal/>
    </border>
    <border>
      <left/>
      <right/>
      <top style="thin">
        <color indexed="64"/>
      </top>
      <bottom/>
      <diagonal/>
    </border>
    <border>
      <left style="dotted">
        <color auto="1"/>
      </left>
      <right style="dotted">
        <color auto="1"/>
      </right>
      <top/>
      <bottom style="dotted">
        <color auto="1"/>
      </bottom>
      <diagonal/>
    </border>
    <border>
      <left style="medium">
        <color rgb="FFD9D9D9"/>
      </left>
      <right style="medium">
        <color rgb="FFD9D9D9"/>
      </right>
      <top style="mediumDashed">
        <color rgb="FFFF0000"/>
      </top>
      <bottom style="thin">
        <color rgb="FF000000"/>
      </bottom>
      <diagonal/>
    </border>
    <border>
      <left style="medium">
        <color rgb="FFD9D9D9"/>
      </left>
      <right style="medium">
        <color rgb="FFD9D9D9"/>
      </right>
      <top style="thin">
        <color rgb="FF000000"/>
      </top>
      <bottom style="mediumDashed">
        <color rgb="FFFF0000"/>
      </bottom>
      <diagonal/>
    </border>
    <border>
      <left style="medium">
        <color rgb="FFD9D9D9"/>
      </left>
      <right style="medium">
        <color rgb="FFD9D9D9"/>
      </right>
      <top style="thin">
        <color rgb="FF000000"/>
      </top>
      <bottom style="thin">
        <color rgb="FF000000"/>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ashDot">
        <color indexed="64"/>
      </left>
      <right style="dashDot">
        <color indexed="64"/>
      </right>
      <top style="dashDot">
        <color indexed="64"/>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rgb="FF000000"/>
      </bottom>
      <diagonal/>
    </border>
    <border>
      <left/>
      <right style="thin">
        <color indexed="64"/>
      </right>
      <top/>
      <bottom/>
      <diagonal/>
    </border>
    <border>
      <left/>
      <right style="dotted">
        <color indexed="64"/>
      </right>
      <top/>
      <bottom style="dotted">
        <color indexed="64"/>
      </bottom>
      <diagonal/>
    </border>
    <border>
      <left style="thin">
        <color indexed="64"/>
      </left>
      <right style="thin">
        <color indexed="64"/>
      </right>
      <top style="thin">
        <color indexed="64"/>
      </top>
      <bottom style="thin">
        <color theme="1"/>
      </bottom>
      <diagonal/>
    </border>
  </borders>
  <cellStyleXfs count="4">
    <xf numFmtId="0" fontId="0" fillId="0" borderId="0"/>
    <xf numFmtId="9" fontId="1" fillId="0" borderId="0" applyFont="0" applyFill="0" applyBorder="0" applyAlignment="0" applyProtection="0"/>
    <xf numFmtId="0" fontId="23" fillId="0" borderId="0"/>
    <xf numFmtId="0" fontId="38" fillId="0" borderId="0" applyNumberFormat="0" applyFill="0" applyBorder="0" applyAlignment="0" applyProtection="0"/>
  </cellStyleXfs>
  <cellXfs count="533">
    <xf numFmtId="0" fontId="0" fillId="0" borderId="0" xfId="0"/>
    <xf numFmtId="0" fontId="5" fillId="3" borderId="1" xfId="0" applyFont="1" applyFill="1" applyBorder="1" applyAlignment="1">
      <alignment vertical="center" wrapText="1"/>
    </xf>
    <xf numFmtId="0" fontId="7" fillId="2" borderId="3" xfId="0" applyFont="1" applyFill="1" applyBorder="1" applyAlignment="1">
      <alignment vertical="center" wrapText="1"/>
    </xf>
    <xf numFmtId="0" fontId="6" fillId="2" borderId="5" xfId="0" applyFont="1" applyFill="1" applyBorder="1" applyAlignment="1">
      <alignment vertical="center" wrapText="1"/>
    </xf>
    <xf numFmtId="0" fontId="5" fillId="3" borderId="6" xfId="0" applyFont="1" applyFill="1" applyBorder="1" applyAlignment="1">
      <alignment vertical="center" wrapText="1"/>
    </xf>
    <xf numFmtId="0" fontId="7" fillId="3" borderId="6" xfId="0" applyFont="1" applyFill="1" applyBorder="1" applyAlignment="1">
      <alignment vertical="center" wrapText="1"/>
    </xf>
    <xf numFmtId="0" fontId="5" fillId="3"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4" xfId="0" applyFont="1" applyBorder="1" applyAlignment="1">
      <alignment horizontal="center" vertical="center" wrapText="1"/>
    </xf>
    <xf numFmtId="0" fontId="0" fillId="0" borderId="0" xfId="0" applyAlignment="1">
      <alignment horizontal="center"/>
    </xf>
    <xf numFmtId="9" fontId="7" fillId="2" borderId="4" xfId="0" applyNumberFormat="1" applyFont="1" applyFill="1" applyBorder="1" applyAlignment="1">
      <alignment horizontal="center" vertical="center" wrapText="1"/>
    </xf>
    <xf numFmtId="17" fontId="7" fillId="2" borderId="4" xfId="0" applyNumberFormat="1" applyFont="1" applyFill="1" applyBorder="1" applyAlignment="1">
      <alignment horizontal="center" vertical="center" wrapText="1"/>
    </xf>
    <xf numFmtId="17" fontId="7" fillId="0" borderId="4" xfId="0" applyNumberFormat="1" applyFont="1" applyBorder="1" applyAlignment="1">
      <alignment horizontal="center" vertical="center" wrapText="1"/>
    </xf>
    <xf numFmtId="0" fontId="7" fillId="2" borderId="11" xfId="0" applyFont="1" applyFill="1" applyBorder="1" applyAlignment="1">
      <alignment horizontal="center" vertical="center" wrapText="1"/>
    </xf>
    <xf numFmtId="0" fontId="5" fillId="4" borderId="10" xfId="0" applyFont="1" applyFill="1" applyBorder="1" applyAlignment="1">
      <alignment horizontal="center" vertical="center" wrapText="1"/>
    </xf>
    <xf numFmtId="9" fontId="7" fillId="2" borderId="4" xfId="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0" xfId="0" applyNumberFormat="1" applyFont="1" applyFill="1" applyAlignment="1">
      <alignment horizontal="center" vertical="center" wrapText="1"/>
    </xf>
    <xf numFmtId="0" fontId="2" fillId="3" borderId="0" xfId="0" applyFont="1" applyFill="1" applyAlignment="1">
      <alignment horizontal="center" vertical="center"/>
    </xf>
    <xf numFmtId="0" fontId="4" fillId="5" borderId="0" xfId="0" applyFont="1" applyFill="1" applyAlignment="1">
      <alignment horizontal="center" vertical="center"/>
    </xf>
    <xf numFmtId="0" fontId="2" fillId="4" borderId="0" xfId="0" applyFont="1" applyFill="1" applyAlignment="1">
      <alignment horizontal="center" vertical="center"/>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0" borderId="0" xfId="0" applyAlignment="1">
      <alignment horizontal="center" vertical="center"/>
    </xf>
    <xf numFmtId="0" fontId="8" fillId="3" borderId="6" xfId="0" applyFont="1" applyFill="1" applyBorder="1" applyAlignment="1">
      <alignment horizontal="center" vertical="center" wrapText="1"/>
    </xf>
    <xf numFmtId="164" fontId="2" fillId="4" borderId="0" xfId="0" applyNumberFormat="1" applyFont="1" applyFill="1"/>
    <xf numFmtId="9" fontId="0" fillId="0" borderId="0" xfId="1" applyFont="1"/>
    <xf numFmtId="9" fontId="5" fillId="4" borderId="10" xfId="1" applyFont="1" applyFill="1" applyBorder="1" applyAlignment="1">
      <alignment horizontal="center" vertical="center" wrapText="1"/>
    </xf>
    <xf numFmtId="1" fontId="8" fillId="4" borderId="0" xfId="0" applyNumberFormat="1" applyFont="1" applyFill="1" applyAlignment="1">
      <alignment horizontal="center" vertical="center" wrapText="1"/>
    </xf>
    <xf numFmtId="1" fontId="7" fillId="2" borderId="12" xfId="0" applyNumberFormat="1" applyFont="1" applyFill="1" applyBorder="1" applyAlignment="1">
      <alignment horizontal="center" vertical="center" wrapText="1"/>
    </xf>
    <xf numFmtId="1" fontId="7" fillId="2" borderId="11" xfId="0" applyNumberFormat="1"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0" fillId="7" borderId="0" xfId="0" applyFill="1" applyAlignment="1">
      <alignment horizontal="center"/>
    </xf>
    <xf numFmtId="1" fontId="7" fillId="7" borderId="0" xfId="0" applyNumberFormat="1" applyFont="1" applyFill="1" applyAlignment="1">
      <alignment horizontal="center" vertical="center" wrapText="1"/>
    </xf>
    <xf numFmtId="1" fontId="8" fillId="7" borderId="0" xfId="0" applyNumberFormat="1" applyFont="1" applyFill="1" applyAlignment="1">
      <alignment horizontal="center" vertical="center" wrapText="1"/>
    </xf>
    <xf numFmtId="0" fontId="0" fillId="0" borderId="19" xfId="0" applyBorder="1" applyAlignment="1">
      <alignment horizontal="center"/>
    </xf>
    <xf numFmtId="0" fontId="0" fillId="7" borderId="19" xfId="0" applyFill="1" applyBorder="1" applyAlignment="1">
      <alignment horizontal="center"/>
    </xf>
    <xf numFmtId="1" fontId="9" fillId="7" borderId="16" xfId="0" applyNumberFormat="1" applyFont="1" applyFill="1" applyBorder="1" applyAlignment="1">
      <alignment horizontal="center" vertical="center" wrapText="1"/>
    </xf>
    <xf numFmtId="1" fontId="9" fillId="7" borderId="17" xfId="0" applyNumberFormat="1" applyFont="1" applyFill="1" applyBorder="1" applyAlignment="1">
      <alignment horizontal="center" vertical="center" wrapText="1"/>
    </xf>
    <xf numFmtId="1" fontId="9" fillId="7" borderId="18" xfId="0" applyNumberFormat="1" applyFont="1" applyFill="1" applyBorder="1" applyAlignment="1">
      <alignment horizontal="center" vertical="center" wrapText="1"/>
    </xf>
    <xf numFmtId="0" fontId="10" fillId="0" borderId="0" xfId="0" applyFont="1"/>
    <xf numFmtId="0" fontId="10" fillId="0" borderId="0" xfId="0" applyFont="1" applyAlignment="1">
      <alignment horizontal="center" vertical="center"/>
    </xf>
    <xf numFmtId="0" fontId="10" fillId="0" borderId="0" xfId="0" applyFont="1" applyAlignment="1">
      <alignment horizontal="center"/>
    </xf>
    <xf numFmtId="9" fontId="10" fillId="0" borderId="0" xfId="1" applyFont="1"/>
    <xf numFmtId="0" fontId="10" fillId="7" borderId="0" xfId="0" applyFont="1" applyFill="1" applyAlignment="1">
      <alignment horizontal="center"/>
    </xf>
    <xf numFmtId="17" fontId="10" fillId="0" borderId="0" xfId="0" applyNumberFormat="1" applyFont="1" applyAlignment="1">
      <alignment horizontal="center"/>
    </xf>
    <xf numFmtId="0" fontId="7" fillId="2" borderId="20" xfId="0" applyFont="1" applyFill="1" applyBorder="1" applyAlignment="1">
      <alignment horizontal="center" vertical="center" wrapText="1"/>
    </xf>
    <xf numFmtId="0" fontId="2" fillId="4" borderId="0" xfId="0" applyFont="1" applyFill="1"/>
    <xf numFmtId="0" fontId="5" fillId="8" borderId="1" xfId="0" applyFont="1" applyFill="1" applyBorder="1" applyAlignment="1">
      <alignment horizontal="center" vertical="center" wrapText="1"/>
    </xf>
    <xf numFmtId="0" fontId="5" fillId="8" borderId="10"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11" borderId="21" xfId="0" applyFont="1" applyFill="1" applyBorder="1" applyAlignment="1">
      <alignment horizontal="center" vertical="center" wrapText="1"/>
    </xf>
    <xf numFmtId="0" fontId="13" fillId="0" borderId="0" xfId="0" applyFont="1" applyAlignment="1">
      <alignment horizontal="center" vertical="center"/>
    </xf>
    <xf numFmtId="0" fontId="13" fillId="0" borderId="21" xfId="0" applyFont="1" applyBorder="1" applyAlignment="1">
      <alignment horizontal="left" vertical="top" wrapText="1"/>
    </xf>
    <xf numFmtId="0" fontId="13" fillId="0" borderId="22" xfId="0" applyFont="1" applyBorder="1" applyAlignment="1">
      <alignment horizontal="center" vertical="center" wrapText="1"/>
    </xf>
    <xf numFmtId="0" fontId="13" fillId="0" borderId="0" xfId="0" applyFont="1"/>
    <xf numFmtId="0" fontId="0" fillId="0" borderId="0" xfId="0" applyAlignment="1">
      <alignment wrapText="1"/>
    </xf>
    <xf numFmtId="0" fontId="13" fillId="0" borderId="0" xfId="0" applyFont="1" applyAlignment="1">
      <alignment wrapText="1"/>
    </xf>
    <xf numFmtId="0" fontId="13" fillId="0" borderId="0" xfId="0" applyFont="1" applyAlignment="1">
      <alignment vertical="center" wrapText="1"/>
    </xf>
    <xf numFmtId="0" fontId="13" fillId="0" borderId="0" xfId="0" applyFont="1" applyAlignment="1">
      <alignment horizontal="center" vertical="center" wrapText="1"/>
    </xf>
    <xf numFmtId="0" fontId="13" fillId="0" borderId="0" xfId="0" applyFont="1" applyAlignment="1">
      <alignment horizontal="left" vertical="top" wrapText="1"/>
    </xf>
    <xf numFmtId="165" fontId="13" fillId="0" borderId="0" xfId="0" applyNumberFormat="1" applyFont="1" applyAlignment="1">
      <alignment horizontal="center" vertical="center" wrapText="1"/>
    </xf>
    <xf numFmtId="0" fontId="2" fillId="15" borderId="23" xfId="0" applyFont="1" applyFill="1" applyBorder="1" applyAlignment="1">
      <alignment horizontal="center" vertical="center"/>
    </xf>
    <xf numFmtId="0" fontId="2" fillId="15" borderId="23" xfId="0" applyFont="1" applyFill="1" applyBorder="1" applyAlignment="1">
      <alignment horizontal="center" vertical="center" wrapText="1"/>
    </xf>
    <xf numFmtId="0" fontId="3" fillId="9" borderId="27" xfId="0" applyFont="1" applyFill="1" applyBorder="1" applyAlignment="1">
      <alignment horizontal="center" vertical="center" wrapText="1"/>
    </xf>
    <xf numFmtId="0" fontId="0" fillId="0" borderId="23" xfId="0" applyBorder="1" applyAlignment="1">
      <alignment horizontal="left" vertical="center"/>
    </xf>
    <xf numFmtId="0" fontId="2" fillId="15" borderId="32" xfId="0" applyFont="1" applyFill="1" applyBorder="1" applyAlignment="1">
      <alignment horizontal="center" vertical="center"/>
    </xf>
    <xf numFmtId="0" fontId="18" fillId="0" borderId="26" xfId="0" applyFont="1" applyBorder="1"/>
    <xf numFmtId="0" fontId="18" fillId="0" borderId="34" xfId="0" applyFont="1" applyBorder="1"/>
    <xf numFmtId="0" fontId="2" fillId="15" borderId="29" xfId="0" applyFont="1" applyFill="1" applyBorder="1" applyAlignment="1">
      <alignment horizontal="center" vertical="center" wrapText="1"/>
    </xf>
    <xf numFmtId="0" fontId="13" fillId="0" borderId="21" xfId="0" applyFont="1" applyBorder="1" applyAlignment="1">
      <alignment horizontal="center" vertical="center"/>
    </xf>
    <xf numFmtId="166" fontId="13" fillId="0" borderId="21" xfId="0" applyNumberFormat="1" applyFont="1" applyBorder="1" applyAlignment="1">
      <alignment horizontal="center" vertical="center" wrapText="1"/>
    </xf>
    <xf numFmtId="165" fontId="13" fillId="0" borderId="21" xfId="0" applyNumberFormat="1" applyFont="1" applyBorder="1" applyAlignment="1">
      <alignment horizontal="center" vertical="center" wrapText="1"/>
    </xf>
    <xf numFmtId="9" fontId="13" fillId="0" borderId="21" xfId="0" applyNumberFormat="1" applyFont="1" applyBorder="1" applyAlignment="1">
      <alignment horizontal="center" vertical="center" wrapText="1"/>
    </xf>
    <xf numFmtId="0" fontId="16" fillId="0" borderId="21" xfId="0" applyFont="1" applyBorder="1" applyAlignment="1">
      <alignment horizontal="left" vertical="top" wrapText="1"/>
    </xf>
    <xf numFmtId="0" fontId="17" fillId="0" borderId="21" xfId="0" applyFont="1" applyBorder="1" applyAlignment="1">
      <alignment horizontal="left" vertical="top" wrapText="1"/>
    </xf>
    <xf numFmtId="0" fontId="15" fillId="3" borderId="0" xfId="0" applyFont="1" applyFill="1" applyAlignment="1">
      <alignment horizontal="center" vertical="center"/>
    </xf>
    <xf numFmtId="0" fontId="15" fillId="3" borderId="0" xfId="0" applyFont="1" applyFill="1" applyAlignment="1">
      <alignment horizontal="center" vertical="center" wrapText="1"/>
    </xf>
    <xf numFmtId="0" fontId="15" fillId="0" borderId="0" xfId="0" applyFont="1" applyAlignment="1">
      <alignment horizontal="center" vertical="center"/>
    </xf>
    <xf numFmtId="0" fontId="15" fillId="17" borderId="0" xfId="0" applyFont="1" applyFill="1" applyAlignment="1">
      <alignment horizontal="center" vertical="center" wrapText="1"/>
    </xf>
    <xf numFmtId="0" fontId="15" fillId="10" borderId="0" xfId="0" applyFont="1" applyFill="1" applyAlignment="1">
      <alignment horizontal="center" vertical="center" wrapText="1"/>
    </xf>
    <xf numFmtId="9" fontId="13" fillId="0" borderId="21" xfId="1" applyFont="1" applyBorder="1" applyAlignment="1">
      <alignment horizontal="center" vertical="center" wrapText="1"/>
    </xf>
    <xf numFmtId="0" fontId="20" fillId="0" borderId="21" xfId="0" applyFont="1" applyBorder="1" applyAlignment="1">
      <alignment horizontal="center" vertical="center" wrapText="1"/>
    </xf>
    <xf numFmtId="0" fontId="12" fillId="3" borderId="0" xfId="0" applyFont="1" applyFill="1" applyAlignment="1">
      <alignment horizontal="center" vertical="center" wrapText="1"/>
    </xf>
    <xf numFmtId="0" fontId="13" fillId="0" borderId="22" xfId="0" applyFont="1" applyBorder="1" applyAlignment="1">
      <alignment horizontal="center" vertical="center"/>
    </xf>
    <xf numFmtId="165" fontId="13" fillId="0" borderId="22" xfId="0" applyNumberFormat="1" applyFont="1" applyBorder="1" applyAlignment="1">
      <alignment horizontal="center" vertical="center" wrapText="1"/>
    </xf>
    <xf numFmtId="166" fontId="13" fillId="0" borderId="22" xfId="0" applyNumberFormat="1" applyFont="1" applyBorder="1" applyAlignment="1">
      <alignment horizontal="center" vertical="center" wrapText="1"/>
    </xf>
    <xf numFmtId="9" fontId="13" fillId="0" borderId="22" xfId="0" applyNumberFormat="1" applyFont="1" applyBorder="1" applyAlignment="1">
      <alignment horizontal="center" vertical="center" wrapText="1"/>
    </xf>
    <xf numFmtId="9" fontId="13" fillId="0" borderId="22" xfId="1" applyFont="1" applyBorder="1" applyAlignment="1">
      <alignment horizontal="center" vertical="center" wrapText="1"/>
    </xf>
    <xf numFmtId="0" fontId="12" fillId="10" borderId="0" xfId="0" applyFont="1" applyFill="1" applyAlignment="1">
      <alignment horizontal="center" vertical="center" wrapText="1"/>
    </xf>
    <xf numFmtId="0" fontId="20" fillId="0" borderId="21" xfId="0" applyFont="1" applyBorder="1" applyAlignment="1">
      <alignment horizontal="center" vertical="center"/>
    </xf>
    <xf numFmtId="0" fontId="12" fillId="17" borderId="0" xfId="0" applyFont="1" applyFill="1" applyAlignment="1">
      <alignment horizontal="center" vertical="center" wrapText="1"/>
    </xf>
    <xf numFmtId="0" fontId="7" fillId="0" borderId="0" xfId="0" applyFont="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horizontal="center" vertical="center" wrapText="1"/>
    </xf>
    <xf numFmtId="0" fontId="2" fillId="10" borderId="0" xfId="0" applyFont="1" applyFill="1" applyAlignment="1">
      <alignment horizontal="center" vertical="center" wrapText="1"/>
    </xf>
    <xf numFmtId="0" fontId="2" fillId="17" borderId="0" xfId="0" applyFont="1" applyFill="1" applyAlignment="1">
      <alignment horizontal="center" vertical="center" wrapText="1"/>
    </xf>
    <xf numFmtId="0" fontId="4" fillId="17" borderId="0" xfId="0" applyFont="1" applyFill="1" applyAlignment="1">
      <alignment horizontal="center" vertical="center" wrapText="1"/>
    </xf>
    <xf numFmtId="0" fontId="4" fillId="0" borderId="0" xfId="0" applyFont="1" applyAlignment="1">
      <alignment horizontal="center" vertical="center"/>
    </xf>
    <xf numFmtId="0" fontId="0" fillId="0" borderId="21" xfId="0" applyBorder="1" applyAlignment="1">
      <alignment horizontal="center" vertical="center"/>
    </xf>
    <xf numFmtId="0" fontId="0" fillId="0" borderId="21" xfId="0" applyBorder="1" applyAlignment="1">
      <alignment horizontal="left" vertical="top" wrapText="1"/>
    </xf>
    <xf numFmtId="0" fontId="0" fillId="0" borderId="21" xfId="0" applyBorder="1" applyAlignment="1">
      <alignment horizontal="center" vertical="center" wrapText="1"/>
    </xf>
    <xf numFmtId="0" fontId="3" fillId="0" borderId="21" xfId="0" applyFont="1" applyBorder="1" applyAlignment="1">
      <alignment horizontal="center" vertical="center" wrapText="1"/>
    </xf>
    <xf numFmtId="0" fontId="13" fillId="5" borderId="21" xfId="0" applyFont="1" applyFill="1" applyBorder="1" applyAlignment="1">
      <alignment horizontal="center" vertical="center" wrapText="1"/>
    </xf>
    <xf numFmtId="0" fontId="13" fillId="0" borderId="0" xfId="0" applyFont="1" applyAlignment="1" applyProtection="1">
      <alignment horizontal="center" vertical="center"/>
      <protection locked="0"/>
    </xf>
    <xf numFmtId="0" fontId="13" fillId="0" borderId="0" xfId="0" applyFont="1" applyProtection="1">
      <protection locked="0"/>
    </xf>
    <xf numFmtId="0" fontId="13" fillId="0" borderId="0" xfId="0" applyFont="1" applyAlignment="1" applyProtection="1">
      <alignment horizontal="center" vertical="center" wrapText="1"/>
      <protection locked="0"/>
    </xf>
    <xf numFmtId="0" fontId="13" fillId="0" borderId="0" xfId="0" applyFont="1" applyAlignment="1" applyProtection="1">
      <alignment horizontal="center" vertical="top"/>
      <protection locked="0"/>
    </xf>
    <xf numFmtId="0" fontId="13" fillId="0" borderId="0" xfId="0" applyFont="1" applyAlignment="1" applyProtection="1">
      <alignment horizontal="center"/>
      <protection locked="0"/>
    </xf>
    <xf numFmtId="0" fontId="12" fillId="15" borderId="0" xfId="0" applyFont="1" applyFill="1" applyAlignment="1" applyProtection="1">
      <alignment horizontal="center" vertical="center" wrapText="1"/>
      <protection locked="0"/>
    </xf>
    <xf numFmtId="0" fontId="12" fillId="23" borderId="0" xfId="0" applyFont="1" applyFill="1" applyAlignment="1">
      <alignment horizontal="center" vertical="center" wrapText="1"/>
    </xf>
    <xf numFmtId="0" fontId="12" fillId="12" borderId="0" xfId="0" applyFont="1" applyFill="1" applyAlignment="1" applyProtection="1">
      <alignment horizontal="center" vertical="center" wrapText="1"/>
      <protection locked="0"/>
    </xf>
    <xf numFmtId="0" fontId="13" fillId="0" borderId="0" xfId="0" applyFont="1" applyAlignment="1" applyProtection="1">
      <alignment vertical="center"/>
      <protection locked="0"/>
    </xf>
    <xf numFmtId="0" fontId="13" fillId="0" borderId="0" xfId="0" applyFont="1" applyAlignment="1" applyProtection="1">
      <alignment horizontal="left" vertical="top" wrapText="1"/>
      <protection locked="0"/>
    </xf>
    <xf numFmtId="0" fontId="13" fillId="0" borderId="0" xfId="0" applyFont="1" applyAlignment="1">
      <alignment vertical="top" wrapText="1"/>
    </xf>
    <xf numFmtId="165" fontId="13" fillId="0" borderId="0" xfId="0" applyNumberFormat="1" applyFont="1"/>
    <xf numFmtId="0" fontId="26" fillId="3" borderId="27" xfId="0" applyFont="1" applyFill="1" applyBorder="1" applyAlignment="1">
      <alignment horizontal="center" vertical="center" wrapText="1" shrinkToFit="1"/>
    </xf>
    <xf numFmtId="165" fontId="26" fillId="3" borderId="27" xfId="0" applyNumberFormat="1" applyFont="1" applyFill="1" applyBorder="1" applyAlignment="1">
      <alignment horizontal="center" vertical="center" wrapText="1" shrinkToFit="1"/>
    </xf>
    <xf numFmtId="0" fontId="25" fillId="25" borderId="27" xfId="0" applyFont="1" applyFill="1" applyBorder="1" applyAlignment="1">
      <alignment horizontal="center" vertical="center" wrapText="1" readingOrder="1"/>
    </xf>
    <xf numFmtId="0" fontId="25" fillId="27" borderId="27" xfId="0" applyFont="1" applyFill="1" applyBorder="1" applyAlignment="1">
      <alignment horizontal="center" vertical="center" wrapText="1" readingOrder="1"/>
    </xf>
    <xf numFmtId="0" fontId="25" fillId="6" borderId="27" xfId="0" applyFont="1" applyFill="1" applyBorder="1" applyAlignment="1">
      <alignment horizontal="center" vertical="center" wrapText="1" readingOrder="1"/>
    </xf>
    <xf numFmtId="0" fontId="25" fillId="26" borderId="27" xfId="0" applyFont="1" applyFill="1" applyBorder="1" applyAlignment="1">
      <alignment horizontal="center" vertical="center" wrapText="1" readingOrder="1"/>
    </xf>
    <xf numFmtId="0" fontId="26" fillId="23" borderId="39" xfId="0" applyFont="1" applyFill="1" applyBorder="1" applyAlignment="1">
      <alignment horizontal="center" vertical="center" wrapText="1" shrinkToFit="1"/>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165" fontId="13" fillId="0" borderId="27" xfId="0" applyNumberFormat="1" applyFont="1" applyBorder="1" applyAlignment="1">
      <alignment horizontal="center" vertical="center" wrapText="1"/>
    </xf>
    <xf numFmtId="0" fontId="13" fillId="0" borderId="37" xfId="0" applyFont="1" applyBorder="1" applyAlignment="1">
      <alignment horizontal="center" vertical="center"/>
    </xf>
    <xf numFmtId="0" fontId="13" fillId="0" borderId="27" xfId="0" applyFont="1" applyBorder="1" applyAlignment="1">
      <alignment vertical="center" wrapText="1"/>
    </xf>
    <xf numFmtId="0" fontId="13" fillId="16" borderId="27" xfId="0" applyFont="1" applyFill="1" applyBorder="1" applyAlignment="1">
      <alignment horizontal="center" vertical="center"/>
    </xf>
    <xf numFmtId="0" fontId="15" fillId="16" borderId="27" xfId="0" applyFont="1" applyFill="1" applyBorder="1" applyAlignment="1">
      <alignment horizontal="center" vertical="center" wrapText="1"/>
    </xf>
    <xf numFmtId="0" fontId="13" fillId="16" borderId="27" xfId="0" applyFont="1" applyFill="1" applyBorder="1" applyAlignment="1">
      <alignment horizontal="center" vertical="center" wrapText="1"/>
    </xf>
    <xf numFmtId="165" fontId="13" fillId="16" borderId="27" xfId="0" applyNumberFormat="1" applyFont="1" applyFill="1" applyBorder="1" applyAlignment="1">
      <alignment horizontal="center" vertical="center" wrapText="1"/>
    </xf>
    <xf numFmtId="9" fontId="13" fillId="16" borderId="27" xfId="0" applyNumberFormat="1" applyFont="1" applyFill="1" applyBorder="1" applyAlignment="1">
      <alignment horizontal="center" vertical="center"/>
    </xf>
    <xf numFmtId="0" fontId="19" fillId="16" borderId="27" xfId="0" applyFont="1" applyFill="1" applyBorder="1" applyAlignment="1">
      <alignment vertical="top" wrapText="1"/>
    </xf>
    <xf numFmtId="0" fontId="15" fillId="0" borderId="27" xfId="0" applyFont="1" applyBorder="1" applyAlignment="1">
      <alignment horizontal="center" vertical="center" wrapText="1"/>
    </xf>
    <xf numFmtId="9" fontId="13" fillId="0" borderId="27" xfId="0" applyNumberFormat="1" applyFont="1" applyBorder="1" applyAlignment="1">
      <alignment horizontal="center" vertical="center"/>
    </xf>
    <xf numFmtId="0" fontId="13" fillId="16" borderId="37" xfId="0" applyFont="1" applyFill="1" applyBorder="1" applyAlignment="1">
      <alignment horizontal="center" vertical="center"/>
    </xf>
    <xf numFmtId="0" fontId="15" fillId="6" borderId="27" xfId="0" applyFont="1" applyFill="1" applyBorder="1" applyAlignment="1">
      <alignment horizontal="center" vertical="center" wrapText="1"/>
    </xf>
    <xf numFmtId="0" fontId="27" fillId="0" borderId="27" xfId="0" applyFont="1" applyBorder="1" applyAlignment="1">
      <alignment vertical="top" wrapText="1"/>
    </xf>
    <xf numFmtId="9" fontId="14" fillId="16" borderId="27" xfId="0" applyNumberFormat="1" applyFont="1" applyFill="1" applyBorder="1" applyAlignment="1">
      <alignment horizontal="center" vertical="center" wrapText="1" readingOrder="1"/>
    </xf>
    <xf numFmtId="9" fontId="24" fillId="16" borderId="27" xfId="0" quotePrefix="1" applyNumberFormat="1" applyFont="1" applyFill="1" applyBorder="1" applyAlignment="1">
      <alignment horizontal="center" vertical="center" wrapText="1" readingOrder="1"/>
    </xf>
    <xf numFmtId="0" fontId="19" fillId="0" borderId="27" xfId="0" applyFont="1" applyBorder="1" applyAlignment="1">
      <alignment vertical="top" wrapText="1"/>
    </xf>
    <xf numFmtId="9" fontId="19" fillId="0" borderId="27" xfId="0" applyNumberFormat="1" applyFont="1" applyBorder="1" applyAlignment="1">
      <alignment horizontal="center" vertical="center" wrapText="1" readingOrder="1"/>
    </xf>
    <xf numFmtId="166" fontId="13" fillId="0" borderId="21" xfId="0" applyNumberFormat="1" applyFont="1" applyBorder="1" applyAlignment="1" applyProtection="1">
      <alignment horizontal="center" vertical="center" wrapText="1"/>
      <protection locked="0"/>
    </xf>
    <xf numFmtId="14" fontId="13" fillId="0" borderId="21" xfId="0" applyNumberFormat="1" applyFont="1" applyBorder="1" applyAlignment="1" applyProtection="1">
      <alignment horizontal="center" vertical="center" wrapText="1"/>
      <protection locked="0"/>
    </xf>
    <xf numFmtId="0" fontId="13" fillId="0" borderId="21" xfId="0" applyFont="1" applyBorder="1" applyAlignment="1" applyProtection="1">
      <alignment horizontal="center" vertical="center" wrapText="1"/>
      <protection locked="0"/>
    </xf>
    <xf numFmtId="14" fontId="13" fillId="0" borderId="21" xfId="0" applyNumberFormat="1" applyFont="1" applyBorder="1" applyAlignment="1" applyProtection="1">
      <alignment horizontal="center" vertical="center"/>
      <protection locked="0"/>
    </xf>
    <xf numFmtId="4" fontId="13" fillId="0" borderId="21" xfId="0" applyNumberFormat="1" applyFont="1" applyBorder="1" applyAlignment="1" applyProtection="1">
      <alignment horizontal="center" vertical="center" wrapText="1"/>
      <protection locked="0"/>
    </xf>
    <xf numFmtId="0" fontId="13" fillId="0" borderId="21" xfId="0" applyFont="1" applyBorder="1" applyAlignment="1" applyProtection="1">
      <alignment horizontal="center" vertical="center"/>
      <protection locked="0"/>
    </xf>
    <xf numFmtId="14" fontId="24" fillId="0" borderId="21" xfId="0" applyNumberFormat="1" applyFont="1" applyBorder="1" applyAlignment="1" applyProtection="1">
      <alignment horizontal="center" vertical="center"/>
      <protection locked="0"/>
    </xf>
    <xf numFmtId="9" fontId="13" fillId="0" borderId="21" xfId="1"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13" fillId="0" borderId="21" xfId="0" applyFont="1" applyBorder="1" applyAlignment="1" applyProtection="1">
      <alignment horizontal="center" vertical="top" wrapText="1"/>
      <protection locked="0"/>
    </xf>
    <xf numFmtId="14" fontId="13" fillId="0" borderId="21" xfId="0" applyNumberFormat="1" applyFont="1" applyBorder="1" applyAlignment="1">
      <alignment horizontal="center" vertical="center" wrapText="1"/>
    </xf>
    <xf numFmtId="0" fontId="24" fillId="0" borderId="21" xfId="0" applyFont="1" applyBorder="1" applyAlignment="1" applyProtection="1">
      <alignment horizontal="center" vertical="center" wrapText="1"/>
      <protection locked="0"/>
    </xf>
    <xf numFmtId="0" fontId="13" fillId="0" borderId="21" xfId="0" applyFont="1" applyBorder="1" applyAlignment="1" applyProtection="1">
      <alignment horizontal="left" vertical="top" wrapText="1"/>
      <protection locked="0"/>
    </xf>
    <xf numFmtId="0" fontId="13" fillId="2" borderId="21" xfId="0" applyFont="1" applyFill="1" applyBorder="1" applyAlignment="1" applyProtection="1">
      <alignment horizontal="center" vertical="center" wrapText="1"/>
      <protection locked="0"/>
    </xf>
    <xf numFmtId="167" fontId="13" fillId="0" borderId="21" xfId="0" applyNumberFormat="1" applyFont="1" applyBorder="1" applyAlignment="1" applyProtection="1">
      <alignment horizontal="center" vertical="center" wrapText="1"/>
      <protection locked="0"/>
    </xf>
    <xf numFmtId="0" fontId="24" fillId="0" borderId="21" xfId="0" applyFont="1" applyBorder="1" applyAlignment="1">
      <alignment horizontal="center" vertical="center" wrapText="1"/>
    </xf>
    <xf numFmtId="0" fontId="24" fillId="2" borderId="21" xfId="0" applyFont="1" applyFill="1" applyBorder="1" applyAlignment="1" applyProtection="1">
      <alignment horizontal="center" vertical="center" wrapText="1"/>
      <protection locked="0"/>
    </xf>
    <xf numFmtId="0" fontId="14" fillId="0" borderId="21" xfId="0" applyFont="1" applyBorder="1" applyAlignment="1">
      <alignment horizontal="left" vertical="top" wrapText="1"/>
    </xf>
    <xf numFmtId="14" fontId="13" fillId="0" borderId="21" xfId="0" applyNumberFormat="1" applyFont="1" applyBorder="1" applyAlignment="1">
      <alignment horizontal="center" vertical="center"/>
    </xf>
    <xf numFmtId="14" fontId="14" fillId="0" borderId="21" xfId="0" applyNumberFormat="1" applyFont="1" applyBorder="1" applyAlignment="1">
      <alignment horizontal="center" vertical="center" wrapText="1"/>
    </xf>
    <xf numFmtId="0" fontId="14" fillId="0" borderId="21" xfId="0" applyFont="1" applyBorder="1" applyAlignment="1">
      <alignment horizontal="center" vertical="center" wrapText="1"/>
    </xf>
    <xf numFmtId="166" fontId="24" fillId="0" borderId="21" xfId="0" applyNumberFormat="1" applyFont="1" applyBorder="1" applyAlignment="1" applyProtection="1">
      <alignment horizontal="center" vertical="center" wrapText="1"/>
      <protection locked="0"/>
    </xf>
    <xf numFmtId="0" fontId="24" fillId="0" borderId="21" xfId="0" applyFont="1" applyBorder="1" applyAlignment="1">
      <alignment horizontal="left" vertical="top" wrapText="1"/>
    </xf>
    <xf numFmtId="167" fontId="13" fillId="14" borderId="21" xfId="0" applyNumberFormat="1" applyFont="1" applyFill="1" applyBorder="1" applyAlignment="1" applyProtection="1">
      <alignment horizontal="center" vertical="center" wrapText="1"/>
      <protection locked="0"/>
    </xf>
    <xf numFmtId="14" fontId="13" fillId="14" borderId="21" xfId="0" applyNumberFormat="1" applyFont="1" applyFill="1" applyBorder="1" applyAlignment="1" applyProtection="1">
      <alignment horizontal="center" vertical="center"/>
      <protection locked="0"/>
    </xf>
    <xf numFmtId="0" fontId="24" fillId="0" borderId="21" xfId="0" applyFont="1" applyBorder="1" applyAlignment="1">
      <alignment horizontal="center" vertical="center"/>
    </xf>
    <xf numFmtId="166" fontId="14" fillId="0" borderId="21" xfId="0" applyNumberFormat="1" applyFont="1" applyBorder="1" applyAlignment="1" applyProtection="1">
      <alignment horizontal="center" vertical="center" wrapText="1"/>
      <protection locked="0"/>
    </xf>
    <xf numFmtId="0" fontId="14" fillId="0" borderId="21" xfId="0" applyFont="1" applyBorder="1" applyAlignment="1" applyProtection="1">
      <alignment horizontal="center" vertical="center"/>
      <protection locked="0"/>
    </xf>
    <xf numFmtId="166" fontId="14" fillId="0" borderId="21" xfId="0" applyNumberFormat="1" applyFont="1" applyBorder="1" applyAlignment="1" applyProtection="1">
      <alignment horizontal="center" vertical="center" wrapText="1" indent="2"/>
      <protection locked="0"/>
    </xf>
    <xf numFmtId="0" fontId="14" fillId="0" borderId="21" xfId="0" applyFont="1" applyBorder="1" applyAlignment="1">
      <alignment horizontal="center" vertical="center"/>
    </xf>
    <xf numFmtId="167" fontId="14" fillId="0" borderId="21" xfId="0" applyNumberFormat="1" applyFont="1" applyBorder="1" applyAlignment="1" applyProtection="1">
      <alignment horizontal="center" vertical="center" wrapText="1"/>
      <protection locked="0"/>
    </xf>
    <xf numFmtId="166" fontId="14" fillId="0" borderId="21" xfId="0" applyNumberFormat="1" applyFont="1" applyBorder="1" applyAlignment="1">
      <alignment horizontal="center" vertical="center" wrapText="1"/>
    </xf>
    <xf numFmtId="14" fontId="14" fillId="0" borderId="21" xfId="0" applyNumberFormat="1" applyFont="1" applyBorder="1" applyAlignment="1" applyProtection="1">
      <alignment horizontal="center" vertical="center" wrapText="1"/>
      <protection locked="0"/>
    </xf>
    <xf numFmtId="0" fontId="13" fillId="14" borderId="21" xfId="0" applyFont="1" applyFill="1" applyBorder="1" applyAlignment="1" applyProtection="1">
      <alignment horizontal="center" vertical="center" wrapText="1"/>
      <protection locked="0"/>
    </xf>
    <xf numFmtId="0" fontId="13" fillId="7" borderId="21" xfId="0" applyFont="1" applyFill="1" applyBorder="1" applyAlignment="1" applyProtection="1">
      <alignment horizontal="center" vertical="center" wrapText="1"/>
      <protection locked="0"/>
    </xf>
    <xf numFmtId="14" fontId="24" fillId="0" borderId="21" xfId="0" applyNumberFormat="1" applyFont="1" applyBorder="1" applyAlignment="1">
      <alignment horizontal="center" vertical="center"/>
    </xf>
    <xf numFmtId="14" fontId="13" fillId="7" borderId="21" xfId="0" applyNumberFormat="1" applyFont="1" applyFill="1" applyBorder="1" applyAlignment="1" applyProtection="1">
      <alignment horizontal="center" vertical="center" wrapText="1"/>
      <protection locked="0"/>
    </xf>
    <xf numFmtId="14" fontId="24" fillId="7" borderId="21" xfId="0" applyNumberFormat="1" applyFont="1" applyFill="1" applyBorder="1" applyAlignment="1" applyProtection="1">
      <alignment horizontal="center" vertical="center"/>
      <protection locked="0"/>
    </xf>
    <xf numFmtId="9" fontId="13" fillId="0" borderId="21" xfId="0" applyNumberFormat="1" applyFont="1" applyBorder="1" applyAlignment="1" applyProtection="1">
      <alignment horizontal="center" vertical="center" wrapText="1"/>
      <protection locked="0"/>
    </xf>
    <xf numFmtId="0" fontId="13" fillId="7" borderId="21" xfId="0" applyFont="1" applyFill="1" applyBorder="1" applyAlignment="1">
      <alignment horizontal="left" vertical="top" wrapText="1"/>
    </xf>
    <xf numFmtId="0" fontId="12" fillId="3" borderId="40" xfId="0" applyFont="1" applyFill="1" applyBorder="1" applyAlignment="1">
      <alignment horizontal="center" vertical="center" wrapText="1"/>
    </xf>
    <xf numFmtId="0" fontId="12" fillId="17" borderId="40" xfId="0" applyFont="1" applyFill="1" applyBorder="1" applyAlignment="1">
      <alignment horizontal="center" vertical="center" wrapText="1"/>
    </xf>
    <xf numFmtId="9" fontId="20" fillId="0" borderId="21" xfId="1" applyFont="1" applyFill="1" applyBorder="1" applyAlignment="1" applyProtection="1">
      <alignment horizontal="center" vertical="center"/>
      <protection locked="0"/>
    </xf>
    <xf numFmtId="0" fontId="20" fillId="0" borderId="21"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0" fontId="29" fillId="0" borderId="0" xfId="0" applyFont="1" applyAlignment="1" applyProtection="1">
      <alignment horizontal="center" vertical="center" wrapText="1"/>
      <protection locked="0"/>
    </xf>
    <xf numFmtId="0" fontId="29" fillId="0" borderId="0" xfId="0" applyFont="1" applyAlignment="1" applyProtection="1">
      <alignment vertical="center"/>
      <protection locked="0"/>
    </xf>
    <xf numFmtId="0" fontId="29" fillId="0" borderId="0" xfId="0" applyFont="1" applyAlignment="1" applyProtection="1">
      <alignment horizontal="center" vertical="top"/>
      <protection locked="0"/>
    </xf>
    <xf numFmtId="0" fontId="29" fillId="0" borderId="0" xfId="0" applyFont="1" applyProtection="1">
      <protection locked="0"/>
    </xf>
    <xf numFmtId="0" fontId="30" fillId="5" borderId="0" xfId="0" applyFont="1" applyFill="1" applyAlignment="1" applyProtection="1">
      <alignment horizontal="center" vertical="center"/>
      <protection locked="0"/>
    </xf>
    <xf numFmtId="0" fontId="31" fillId="0" borderId="0" xfId="0" applyFont="1" applyAlignment="1" applyProtection="1">
      <alignment horizontal="center" vertical="center"/>
      <protection locked="0"/>
    </xf>
    <xf numFmtId="0" fontId="31" fillId="0" borderId="0" xfId="0" applyFont="1" applyProtection="1">
      <protection locked="0"/>
    </xf>
    <xf numFmtId="0" fontId="31" fillId="0" borderId="0" xfId="0" applyFont="1" applyAlignment="1" applyProtection="1">
      <alignment wrapText="1"/>
      <protection locked="0"/>
    </xf>
    <xf numFmtId="0" fontId="31" fillId="0" borderId="0" xfId="0" applyFont="1" applyAlignment="1" applyProtection="1">
      <alignment horizontal="center" vertical="center" wrapText="1"/>
      <protection locked="0"/>
    </xf>
    <xf numFmtId="0" fontId="31" fillId="0" borderId="0" xfId="0" applyFont="1" applyAlignment="1" applyProtection="1">
      <alignment vertical="center"/>
      <protection locked="0"/>
    </xf>
    <xf numFmtId="0" fontId="31" fillId="0" borderId="0" xfId="0" applyFont="1" applyAlignment="1" applyProtection="1">
      <alignment horizontal="center" vertical="top"/>
      <protection locked="0"/>
    </xf>
    <xf numFmtId="0" fontId="31"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21" xfId="0" applyFont="1" applyBorder="1" applyAlignment="1">
      <alignment vertical="top" wrapText="1"/>
    </xf>
    <xf numFmtId="0" fontId="14" fillId="0" borderId="21" xfId="0" applyFont="1" applyBorder="1" applyAlignment="1">
      <alignment vertical="top" wrapText="1"/>
    </xf>
    <xf numFmtId="0" fontId="24" fillId="0" borderId="21" xfId="0" applyFont="1" applyBorder="1" applyAlignment="1">
      <alignment vertical="top" wrapText="1"/>
    </xf>
    <xf numFmtId="0" fontId="13" fillId="0" borderId="0" xfId="0" applyFont="1" applyAlignment="1">
      <alignment vertical="top"/>
    </xf>
    <xf numFmtId="0" fontId="15" fillId="0" borderId="0" xfId="0" applyFont="1" applyProtection="1">
      <protection locked="0"/>
    </xf>
    <xf numFmtId="9" fontId="13" fillId="0" borderId="21" xfId="1" applyFont="1" applyFill="1" applyBorder="1" applyAlignment="1" applyProtection="1">
      <alignment horizontal="center" vertical="center" wrapText="1"/>
      <protection locked="0"/>
    </xf>
    <xf numFmtId="0" fontId="32" fillId="0" borderId="0" xfId="0" applyFont="1" applyProtection="1">
      <protection locked="0"/>
    </xf>
    <xf numFmtId="0" fontId="12" fillId="3" borderId="40" xfId="0" applyFont="1" applyFill="1" applyBorder="1" applyAlignment="1" applyProtection="1">
      <alignment horizontal="center" vertical="center" wrapText="1"/>
      <protection locked="0"/>
    </xf>
    <xf numFmtId="0" fontId="13" fillId="11" borderId="0" xfId="0" applyFont="1" applyFill="1" applyAlignment="1">
      <alignment vertical="top"/>
    </xf>
    <xf numFmtId="0" fontId="12" fillId="10" borderId="0" xfId="0" applyFont="1" applyFill="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17" borderId="0" xfId="0" applyFont="1" applyFill="1" applyAlignment="1" applyProtection="1">
      <alignment horizontal="center" vertical="center" wrapText="1"/>
      <protection locked="0"/>
    </xf>
    <xf numFmtId="0" fontId="2" fillId="15" borderId="24" xfId="0" applyFont="1" applyFill="1" applyBorder="1" applyAlignment="1">
      <alignment horizontal="center" vertical="center" wrapText="1"/>
    </xf>
    <xf numFmtId="0" fontId="0" fillId="5" borderId="0" xfId="0" applyFill="1"/>
    <xf numFmtId="0" fontId="21" fillId="18" borderId="23" xfId="0" applyFont="1" applyFill="1" applyBorder="1" applyAlignment="1">
      <alignment vertical="center" wrapText="1"/>
    </xf>
    <xf numFmtId="0" fontId="21" fillId="19" borderId="23" xfId="0" applyFont="1" applyFill="1" applyBorder="1" applyAlignment="1">
      <alignment vertical="center" wrapText="1"/>
    </xf>
    <xf numFmtId="0" fontId="21" fillId="20" borderId="23" xfId="0" applyFont="1" applyFill="1" applyBorder="1" applyAlignment="1">
      <alignment vertical="center" wrapText="1"/>
    </xf>
    <xf numFmtId="0" fontId="21" fillId="11" borderId="23" xfId="0" applyFont="1" applyFill="1" applyBorder="1" applyAlignment="1">
      <alignment vertical="center" wrapText="1"/>
    </xf>
    <xf numFmtId="0" fontId="31" fillId="5" borderId="0" xfId="0" applyFont="1" applyFill="1"/>
    <xf numFmtId="0" fontId="13" fillId="0" borderId="23" xfId="0" applyFont="1" applyBorder="1" applyAlignment="1">
      <alignment vertical="top" wrapText="1"/>
    </xf>
    <xf numFmtId="0" fontId="13" fillId="0" borderId="23" xfId="0" applyFont="1" applyBorder="1" applyAlignment="1">
      <alignment horizontal="left" vertical="top" wrapText="1"/>
    </xf>
    <xf numFmtId="0" fontId="13" fillId="0" borderId="35" xfId="0" applyFont="1" applyBorder="1" applyAlignment="1">
      <alignment horizontal="left" vertical="top" wrapText="1"/>
    </xf>
    <xf numFmtId="0" fontId="0" fillId="28" borderId="27" xfId="0" applyFill="1" applyBorder="1" applyAlignment="1">
      <alignment horizontal="center" vertical="center" wrapText="1"/>
    </xf>
    <xf numFmtId="165" fontId="20" fillId="0" borderId="21" xfId="0" applyNumberFormat="1" applyFont="1" applyBorder="1" applyAlignment="1">
      <alignment horizontal="center" vertical="center" wrapText="1"/>
    </xf>
    <xf numFmtId="0" fontId="16" fillId="0" borderId="21" xfId="0" applyFont="1" applyBorder="1" applyAlignment="1" applyProtection="1">
      <alignment vertical="top" wrapText="1"/>
      <protection locked="0"/>
    </xf>
    <xf numFmtId="0" fontId="16" fillId="0" borderId="21" xfId="0" applyFont="1" applyBorder="1" applyAlignment="1" applyProtection="1">
      <alignment horizontal="left" vertical="top" wrapText="1"/>
      <protection locked="0"/>
    </xf>
    <xf numFmtId="0" fontId="16" fillId="2" borderId="21" xfId="0" applyFont="1" applyFill="1" applyBorder="1" applyAlignment="1" applyProtection="1">
      <alignment vertical="top" wrapText="1"/>
      <protection locked="0"/>
    </xf>
    <xf numFmtId="0" fontId="16" fillId="2" borderId="21" xfId="0" applyFont="1" applyFill="1" applyBorder="1" applyAlignment="1" applyProtection="1">
      <alignment horizontal="left" vertical="top" wrapText="1"/>
      <protection locked="0"/>
    </xf>
    <xf numFmtId="16" fontId="16" fillId="0" borderId="21" xfId="0" applyNumberFormat="1" applyFont="1" applyBorder="1" applyAlignment="1" applyProtection="1">
      <alignment horizontal="left" vertical="top" wrapText="1"/>
      <protection locked="0"/>
    </xf>
    <xf numFmtId="14" fontId="16" fillId="0" borderId="21" xfId="0" applyNumberFormat="1" applyFont="1" applyBorder="1" applyAlignment="1" applyProtection="1">
      <alignment horizontal="left" vertical="center" wrapText="1"/>
      <protection locked="0"/>
    </xf>
    <xf numFmtId="0" fontId="14" fillId="0" borderId="21" xfId="0" applyFont="1" applyBorder="1" applyAlignment="1" applyProtection="1">
      <alignment horizontal="left" vertical="top" wrapText="1"/>
      <protection locked="0"/>
    </xf>
    <xf numFmtId="166" fontId="24" fillId="0" borderId="21" xfId="0" applyNumberFormat="1" applyFont="1" applyBorder="1" applyAlignment="1">
      <alignment horizontal="center" vertical="center" wrapText="1"/>
    </xf>
    <xf numFmtId="167" fontId="24" fillId="0" borderId="21" xfId="0" applyNumberFormat="1" applyFont="1" applyBorder="1" applyAlignment="1" applyProtection="1">
      <alignment horizontal="center" vertical="center" wrapText="1"/>
      <protection locked="0"/>
    </xf>
    <xf numFmtId="14" fontId="24" fillId="0" borderId="21" xfId="0" applyNumberFormat="1" applyFont="1" applyBorder="1" applyAlignment="1">
      <alignment horizontal="center" vertical="center" wrapText="1"/>
    </xf>
    <xf numFmtId="14" fontId="24" fillId="0" borderId="21" xfId="0" applyNumberFormat="1" applyFont="1" applyBorder="1" applyAlignment="1" applyProtection="1">
      <alignment horizontal="center" vertical="center" wrapText="1"/>
      <protection locked="0"/>
    </xf>
    <xf numFmtId="9" fontId="24" fillId="0" borderId="21" xfId="1" applyFont="1" applyFill="1" applyBorder="1" applyAlignment="1" applyProtection="1">
      <alignment horizontal="center" vertical="center" wrapText="1"/>
      <protection locked="0"/>
    </xf>
    <xf numFmtId="9" fontId="24" fillId="0" borderId="21" xfId="1" applyFont="1" applyFill="1" applyBorder="1" applyAlignment="1" applyProtection="1">
      <alignment horizontal="center" vertical="center"/>
      <protection locked="0"/>
    </xf>
    <xf numFmtId="4" fontId="24" fillId="0" borderId="21" xfId="0" applyNumberFormat="1" applyFont="1" applyBorder="1" applyAlignment="1" applyProtection="1">
      <alignment horizontal="center" vertical="center" wrapText="1"/>
      <protection locked="0"/>
    </xf>
    <xf numFmtId="0" fontId="13" fillId="0" borderId="22" xfId="0" applyFont="1" applyBorder="1" applyAlignment="1">
      <alignment horizontal="left" vertical="top" wrapText="1"/>
    </xf>
    <xf numFmtId="0" fontId="0" fillId="0" borderId="26" xfId="0" applyBorder="1" applyAlignment="1">
      <alignment horizontal="left" vertical="center" wrapText="1"/>
    </xf>
    <xf numFmtId="0" fontId="0" fillId="0" borderId="30" xfId="0" applyBorder="1" applyAlignment="1">
      <alignment horizontal="left" vertical="center" wrapText="1"/>
    </xf>
    <xf numFmtId="14" fontId="16" fillId="0" borderId="21" xfId="0" applyNumberFormat="1" applyFont="1" applyBorder="1" applyAlignment="1" applyProtection="1">
      <alignment horizontal="center" vertical="center"/>
      <protection locked="0"/>
    </xf>
    <xf numFmtId="14" fontId="16" fillId="14" borderId="21" xfId="0" applyNumberFormat="1" applyFont="1" applyFill="1" applyBorder="1" applyAlignment="1" applyProtection="1">
      <alignment horizontal="center" vertical="center"/>
      <protection locked="0"/>
    </xf>
    <xf numFmtId="0" fontId="13" fillId="0" borderId="0" xfId="0" applyFont="1" applyAlignment="1" applyProtection="1">
      <alignment horizontal="center" wrapText="1"/>
      <protection locked="0"/>
    </xf>
    <xf numFmtId="0" fontId="0" fillId="13" borderId="40" xfId="0" applyFill="1" applyBorder="1"/>
    <xf numFmtId="0" fontId="0" fillId="0" borderId="40" xfId="0" applyBorder="1"/>
    <xf numFmtId="0" fontId="0" fillId="0" borderId="42" xfId="0" applyBorder="1"/>
    <xf numFmtId="0" fontId="0" fillId="13" borderId="42" xfId="0" applyFill="1" applyBorder="1"/>
    <xf numFmtId="0" fontId="2" fillId="15" borderId="43" xfId="0" applyFont="1" applyFill="1" applyBorder="1" applyAlignment="1">
      <alignment horizontal="center" vertical="center"/>
    </xf>
    <xf numFmtId="0" fontId="0" fillId="0" borderId="29" xfId="0" applyBorder="1" applyAlignment="1">
      <alignment horizontal="left" vertical="center"/>
    </xf>
    <xf numFmtId="0" fontId="0" fillId="0" borderId="44" xfId="0" applyBorder="1" applyAlignment="1">
      <alignment horizontal="left" vertical="center"/>
    </xf>
    <xf numFmtId="0" fontId="0" fillId="0" borderId="45" xfId="0" applyBorder="1" applyAlignment="1">
      <alignment horizontal="left" vertical="center"/>
    </xf>
    <xf numFmtId="0" fontId="0" fillId="0" borderId="25" xfId="0" applyBorder="1" applyAlignment="1">
      <alignment vertical="center" wrapText="1"/>
    </xf>
    <xf numFmtId="0" fontId="13" fillId="0" borderId="26" xfId="0" applyFont="1" applyBorder="1" applyAlignment="1">
      <alignment vertical="top" wrapText="1"/>
    </xf>
    <xf numFmtId="0" fontId="2" fillId="15" borderId="33" xfId="0" applyFont="1" applyFill="1" applyBorder="1" applyAlignment="1">
      <alignment horizontal="center" vertical="center"/>
    </xf>
    <xf numFmtId="0" fontId="2" fillId="15" borderId="31" xfId="0" applyFont="1" applyFill="1" applyBorder="1" applyAlignment="1">
      <alignment horizontal="center" vertical="center"/>
    </xf>
    <xf numFmtId="0" fontId="0" fillId="0" borderId="28" xfId="0" applyBorder="1" applyAlignment="1">
      <alignment vertical="center" wrapText="1"/>
    </xf>
    <xf numFmtId="0" fontId="13" fillId="0" borderId="30" xfId="0" applyFont="1" applyBorder="1" applyAlignment="1">
      <alignment vertical="top" wrapText="1"/>
    </xf>
    <xf numFmtId="0" fontId="21" fillId="11" borderId="29" xfId="0" applyFont="1" applyFill="1" applyBorder="1" applyAlignment="1">
      <alignment vertical="center" wrapText="1"/>
    </xf>
    <xf numFmtId="0" fontId="13" fillId="0" borderId="29" xfId="0" applyFont="1" applyBorder="1" applyAlignment="1">
      <alignment horizontal="left" vertical="top" wrapText="1"/>
    </xf>
    <xf numFmtId="0" fontId="21" fillId="18" borderId="25" xfId="0" applyFont="1" applyFill="1" applyBorder="1" applyAlignment="1">
      <alignment vertical="center" wrapText="1"/>
    </xf>
    <xf numFmtId="0" fontId="21" fillId="19" borderId="25" xfId="0" applyFont="1" applyFill="1" applyBorder="1" applyAlignment="1">
      <alignment vertical="center" wrapText="1"/>
    </xf>
    <xf numFmtId="0" fontId="21" fillId="20" borderId="25" xfId="0" applyFont="1" applyFill="1" applyBorder="1" applyAlignment="1">
      <alignment vertical="center" wrapText="1"/>
    </xf>
    <xf numFmtId="0" fontId="21" fillId="11" borderId="25" xfId="0" applyFont="1" applyFill="1" applyBorder="1" applyAlignment="1">
      <alignment vertical="center" wrapText="1"/>
    </xf>
    <xf numFmtId="0" fontId="21" fillId="18" borderId="26" xfId="0" applyFont="1" applyFill="1" applyBorder="1" applyAlignment="1">
      <alignment vertical="center" wrapText="1"/>
    </xf>
    <xf numFmtId="0" fontId="21" fillId="19" borderId="26" xfId="0" applyFont="1" applyFill="1" applyBorder="1" applyAlignment="1">
      <alignment vertical="center" wrapText="1"/>
    </xf>
    <xf numFmtId="0" fontId="21" fillId="20" borderId="26" xfId="0" applyFont="1" applyFill="1" applyBorder="1" applyAlignment="1">
      <alignment vertical="center" wrapText="1"/>
    </xf>
    <xf numFmtId="0" fontId="21" fillId="11" borderId="26" xfId="0" applyFont="1" applyFill="1" applyBorder="1" applyAlignment="1">
      <alignment vertical="center" wrapText="1"/>
    </xf>
    <xf numFmtId="0" fontId="2" fillId="15" borderId="24" xfId="0" applyFont="1" applyFill="1" applyBorder="1" applyAlignment="1">
      <alignment horizontal="center" vertical="center"/>
    </xf>
    <xf numFmtId="0" fontId="21" fillId="11" borderId="28" xfId="0" applyFont="1" applyFill="1" applyBorder="1" applyAlignment="1">
      <alignment vertical="center" wrapText="1"/>
    </xf>
    <xf numFmtId="0" fontId="21" fillId="11" borderId="30" xfId="0" applyFont="1" applyFill="1" applyBorder="1" applyAlignment="1">
      <alignment vertical="center" wrapText="1"/>
    </xf>
    <xf numFmtId="165" fontId="0" fillId="0" borderId="0" xfId="0" applyNumberFormat="1" applyAlignment="1">
      <alignment horizontal="center" vertical="center" wrapText="1"/>
    </xf>
    <xf numFmtId="9" fontId="13" fillId="0" borderId="21" xfId="1" applyFont="1" applyFill="1" applyBorder="1" applyAlignment="1" applyProtection="1">
      <alignment horizontal="center" vertical="center"/>
      <protection locked="0"/>
    </xf>
    <xf numFmtId="9" fontId="13" fillId="0" borderId="21" xfId="1" applyFont="1" applyBorder="1" applyAlignment="1" applyProtection="1">
      <alignment horizontal="center" vertical="center"/>
      <protection locked="0"/>
    </xf>
    <xf numFmtId="0" fontId="15" fillId="29" borderId="0" xfId="0" applyFont="1" applyFill="1" applyAlignment="1">
      <alignment horizontal="center" vertical="center" wrapText="1"/>
    </xf>
    <xf numFmtId="0" fontId="13" fillId="9" borderId="21" xfId="0" applyFont="1" applyFill="1" applyBorder="1" applyAlignment="1">
      <alignment horizontal="center" vertical="center" wrapText="1"/>
    </xf>
    <xf numFmtId="0" fontId="20" fillId="9" borderId="21" xfId="0" applyFont="1" applyFill="1" applyBorder="1" applyAlignment="1">
      <alignment horizontal="center" vertical="center" wrapText="1"/>
    </xf>
    <xf numFmtId="0" fontId="13" fillId="30" borderId="21" xfId="0" applyFont="1" applyFill="1" applyBorder="1" applyAlignment="1">
      <alignment horizontal="center" vertical="center" wrapText="1"/>
    </xf>
    <xf numFmtId="0" fontId="17" fillId="9" borderId="21" xfId="0" applyFont="1" applyFill="1" applyBorder="1" applyAlignment="1">
      <alignment horizontal="left" vertical="top" wrapText="1"/>
    </xf>
    <xf numFmtId="0" fontId="16" fillId="9" borderId="21" xfId="0" applyFont="1" applyFill="1" applyBorder="1" applyAlignment="1">
      <alignment horizontal="left" vertical="top" wrapText="1"/>
    </xf>
    <xf numFmtId="14" fontId="31" fillId="0" borderId="0" xfId="0" applyNumberFormat="1" applyFont="1" applyAlignment="1" applyProtection="1">
      <alignment vertical="top"/>
      <protection locked="0"/>
    </xf>
    <xf numFmtId="0" fontId="0" fillId="0" borderId="46" xfId="0" applyBorder="1" applyAlignment="1">
      <alignment horizontal="center" vertical="center" wrapText="1"/>
    </xf>
    <xf numFmtId="0" fontId="0" fillId="0" borderId="22" xfId="0" applyBorder="1" applyAlignment="1">
      <alignment horizontal="center" vertical="center" wrapText="1"/>
    </xf>
    <xf numFmtId="9" fontId="20" fillId="0" borderId="21" xfId="1" applyFont="1" applyBorder="1" applyAlignment="1" applyProtection="1">
      <alignment horizontal="center" vertical="center"/>
      <protection locked="0"/>
    </xf>
    <xf numFmtId="17" fontId="33" fillId="2" borderId="4" xfId="0" applyNumberFormat="1" applyFont="1" applyFill="1" applyBorder="1" applyAlignment="1">
      <alignment horizontal="center" vertical="center" wrapText="1"/>
    </xf>
    <xf numFmtId="17" fontId="33" fillId="2" borderId="48" xfId="0" applyNumberFormat="1" applyFont="1" applyFill="1" applyBorder="1" applyAlignment="1">
      <alignment horizontal="center" vertical="center" wrapText="1"/>
    </xf>
    <xf numFmtId="17" fontId="33" fillId="2" borderId="49" xfId="0" applyNumberFormat="1" applyFont="1" applyFill="1" applyBorder="1" applyAlignment="1">
      <alignment horizontal="center" vertical="center" wrapText="1"/>
    </xf>
    <xf numFmtId="4" fontId="16" fillId="14" borderId="21" xfId="0" applyNumberFormat="1" applyFont="1" applyFill="1" applyBorder="1" applyAlignment="1" applyProtection="1">
      <alignment vertical="top" wrapText="1"/>
      <protection locked="0"/>
    </xf>
    <xf numFmtId="4" fontId="16" fillId="14" borderId="22" xfId="0" applyNumberFormat="1" applyFont="1" applyFill="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0" borderId="46" xfId="0" applyFont="1" applyBorder="1" applyAlignment="1">
      <alignment horizontal="left" vertical="top" wrapText="1"/>
    </xf>
    <xf numFmtId="4" fontId="16" fillId="0" borderId="21" xfId="0" applyNumberFormat="1" applyFont="1" applyBorder="1" applyAlignment="1" applyProtection="1">
      <alignment horizontal="left" vertical="top" wrapText="1"/>
      <protection locked="0"/>
    </xf>
    <xf numFmtId="0" fontId="13" fillId="0" borderId="50" xfId="0" applyFont="1" applyBorder="1" applyAlignment="1">
      <alignment horizontal="center" vertical="center" wrapText="1"/>
    </xf>
    <xf numFmtId="0" fontId="13" fillId="0" borderId="51" xfId="0" applyFont="1" applyBorder="1" applyAlignment="1" applyProtection="1">
      <alignment horizontal="center" vertical="center" wrapText="1"/>
      <protection locked="0"/>
    </xf>
    <xf numFmtId="0" fontId="13" fillId="0" borderId="51" xfId="0" applyFont="1" applyBorder="1" applyAlignment="1">
      <alignment horizontal="center" vertical="center" wrapText="1"/>
    </xf>
    <xf numFmtId="0" fontId="13" fillId="0" borderId="51" xfId="0" applyFont="1" applyBorder="1" applyAlignment="1">
      <alignment horizontal="left" vertical="top" wrapText="1"/>
    </xf>
    <xf numFmtId="166" fontId="13" fillId="0" borderId="51" xfId="0" applyNumberFormat="1" applyFont="1" applyBorder="1" applyAlignment="1">
      <alignment horizontal="center" vertical="center" wrapText="1"/>
    </xf>
    <xf numFmtId="166" fontId="13" fillId="0" borderId="51" xfId="0" applyNumberFormat="1" applyFont="1" applyBorder="1" applyAlignment="1" applyProtection="1">
      <alignment horizontal="center" vertical="center" wrapText="1"/>
      <protection locked="0"/>
    </xf>
    <xf numFmtId="167" fontId="13" fillId="0" borderId="51" xfId="0" applyNumberFormat="1" applyFont="1" applyBorder="1" applyAlignment="1" applyProtection="1">
      <alignment horizontal="center" vertical="center" wrapText="1"/>
      <protection locked="0"/>
    </xf>
    <xf numFmtId="0" fontId="13" fillId="0" borderId="22" xfId="0" applyFont="1" applyBorder="1" applyAlignment="1" applyProtection="1">
      <alignment horizontal="center" vertical="center" wrapText="1"/>
      <protection locked="0"/>
    </xf>
    <xf numFmtId="0" fontId="13" fillId="0" borderId="51" xfId="0" applyFont="1" applyBorder="1" applyAlignment="1" applyProtection="1">
      <alignment horizontal="center" vertical="center"/>
      <protection locked="0"/>
    </xf>
    <xf numFmtId="14" fontId="13" fillId="0" borderId="51" xfId="0" applyNumberFormat="1" applyFont="1" applyBorder="1" applyAlignment="1" applyProtection="1">
      <alignment horizontal="center" vertical="center" wrapText="1"/>
      <protection locked="0"/>
    </xf>
    <xf numFmtId="9" fontId="13" fillId="0" borderId="51" xfId="0" applyNumberFormat="1" applyFont="1" applyBorder="1" applyAlignment="1" applyProtection="1">
      <alignment horizontal="center" vertical="center" wrapText="1"/>
      <protection locked="0"/>
    </xf>
    <xf numFmtId="9" fontId="13" fillId="0" borderId="51" xfId="0" applyNumberFormat="1" applyFont="1" applyBorder="1" applyAlignment="1" applyProtection="1">
      <alignment horizontal="center" vertical="center"/>
      <protection locked="0"/>
    </xf>
    <xf numFmtId="9" fontId="13" fillId="0" borderId="22" xfId="0" applyNumberFormat="1" applyFont="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0" fontId="16" fillId="0" borderId="52" xfId="0" applyFont="1" applyBorder="1" applyAlignment="1" applyProtection="1">
      <alignment horizontal="left" vertical="top" wrapText="1"/>
      <protection locked="0"/>
    </xf>
    <xf numFmtId="0" fontId="20" fillId="14" borderId="22" xfId="0" applyFont="1" applyFill="1" applyBorder="1" applyAlignment="1" applyProtection="1">
      <alignment horizontal="center" vertical="center"/>
      <protection locked="0"/>
    </xf>
    <xf numFmtId="14" fontId="13" fillId="14" borderId="51" xfId="0" applyNumberFormat="1" applyFont="1" applyFill="1" applyBorder="1" applyAlignment="1" applyProtection="1">
      <alignment horizontal="center" vertical="center"/>
      <protection locked="0"/>
    </xf>
    <xf numFmtId="14" fontId="24" fillId="14" borderId="51" xfId="0" applyNumberFormat="1" applyFont="1" applyFill="1" applyBorder="1" applyAlignment="1" applyProtection="1">
      <alignment horizontal="center" vertical="center"/>
      <protection locked="0"/>
    </xf>
    <xf numFmtId="9" fontId="20" fillId="14" borderId="21" xfId="1" applyFont="1" applyFill="1" applyBorder="1" applyAlignment="1" applyProtection="1">
      <alignment horizontal="center" vertical="center"/>
      <protection locked="0"/>
    </xf>
    <xf numFmtId="4" fontId="21" fillId="20" borderId="26" xfId="0" applyNumberFormat="1" applyFont="1" applyFill="1" applyBorder="1" applyAlignment="1">
      <alignment horizontal="center" vertical="center" wrapText="1"/>
    </xf>
    <xf numFmtId="0" fontId="12" fillId="24" borderId="0" xfId="0" applyFont="1" applyFill="1" applyAlignment="1" applyProtection="1">
      <alignment horizontal="center" vertical="center" wrapText="1"/>
      <protection locked="0"/>
    </xf>
    <xf numFmtId="0" fontId="35" fillId="0" borderId="21" xfId="0" applyFont="1" applyBorder="1" applyAlignment="1">
      <alignment horizontal="center" vertical="center" wrapText="1"/>
    </xf>
    <xf numFmtId="0" fontId="36" fillId="0" borderId="21" xfId="0" applyFont="1" applyBorder="1" applyAlignment="1">
      <alignment horizontal="center" vertical="center" wrapText="1"/>
    </xf>
    <xf numFmtId="0" fontId="15" fillId="0" borderId="21" xfId="0" applyFont="1" applyBorder="1" applyAlignment="1" applyProtection="1">
      <alignment horizontal="center" vertical="center"/>
      <protection locked="0"/>
    </xf>
    <xf numFmtId="0" fontId="13" fillId="0" borderId="22" xfId="0" applyFont="1" applyBorder="1" applyAlignment="1" applyProtection="1">
      <alignment horizontal="center" vertical="center"/>
      <protection locked="0"/>
    </xf>
    <xf numFmtId="0" fontId="3" fillId="0" borderId="0" xfId="0" applyFont="1" applyAlignment="1">
      <alignment horizontal="center"/>
    </xf>
    <xf numFmtId="0" fontId="0" fillId="0" borderId="0" xfId="0" applyAlignment="1">
      <alignment horizontal="left" vertical="center" wrapText="1"/>
    </xf>
    <xf numFmtId="0" fontId="0" fillId="0" borderId="25" xfId="0" applyBorder="1"/>
    <xf numFmtId="0" fontId="0" fillId="0" borderId="28" xfId="0" applyBorder="1"/>
    <xf numFmtId="0" fontId="0" fillId="31" borderId="36" xfId="0" applyFill="1" applyBorder="1" applyAlignment="1">
      <alignment horizontal="center" vertical="center" wrapText="1"/>
    </xf>
    <xf numFmtId="0" fontId="4" fillId="31" borderId="33" xfId="0" applyFont="1" applyFill="1" applyBorder="1" applyAlignment="1">
      <alignment horizontal="center" vertical="center"/>
    </xf>
    <xf numFmtId="0" fontId="4" fillId="31" borderId="31" xfId="0" applyFont="1" applyFill="1" applyBorder="1" applyAlignment="1">
      <alignment horizontal="center" vertical="center"/>
    </xf>
    <xf numFmtId="0" fontId="2" fillId="31" borderId="41" xfId="0" applyFont="1" applyFill="1" applyBorder="1" applyAlignment="1">
      <alignment horizontal="center"/>
    </xf>
    <xf numFmtId="0" fontId="0" fillId="31" borderId="0" xfId="0" applyFill="1" applyAlignment="1">
      <alignment horizontal="center"/>
    </xf>
    <xf numFmtId="0" fontId="0" fillId="0" borderId="36" xfId="0" applyBorder="1" applyAlignment="1">
      <alignment vertical="center" wrapText="1"/>
    </xf>
    <xf numFmtId="0" fontId="0" fillId="0" borderId="53" xfId="0" applyBorder="1" applyAlignment="1">
      <alignment vertical="center" wrapText="1"/>
    </xf>
    <xf numFmtId="0" fontId="31" fillId="5" borderId="0" xfId="0" applyFont="1" applyFill="1" applyAlignment="1" applyProtection="1">
      <alignment horizontal="center" vertical="center"/>
      <protection locked="0"/>
    </xf>
    <xf numFmtId="9" fontId="20" fillId="0" borderId="21" xfId="0" applyNumberFormat="1" applyFont="1" applyBorder="1" applyAlignment="1">
      <alignment horizontal="center" vertical="center" wrapText="1"/>
    </xf>
    <xf numFmtId="0" fontId="13" fillId="16" borderId="27" xfId="0" applyFont="1" applyFill="1" applyBorder="1" applyAlignment="1">
      <alignment horizontal="left" vertical="top" wrapText="1"/>
    </xf>
    <xf numFmtId="0" fontId="13" fillId="0" borderId="27" xfId="0" applyFont="1" applyBorder="1" applyAlignment="1">
      <alignment horizontal="left" vertical="top" wrapText="1"/>
    </xf>
    <xf numFmtId="0" fontId="13" fillId="7" borderId="27" xfId="0" applyFont="1" applyFill="1" applyBorder="1" applyAlignment="1">
      <alignment horizontal="left" vertical="top" wrapText="1"/>
    </xf>
    <xf numFmtId="0" fontId="12" fillId="12" borderId="27" xfId="0" applyFont="1" applyFill="1" applyBorder="1" applyAlignment="1">
      <alignment horizontal="center" vertical="center" wrapText="1"/>
    </xf>
    <xf numFmtId="0" fontId="37" fillId="6" borderId="27" xfId="0" applyFont="1" applyFill="1" applyBorder="1" applyAlignment="1">
      <alignment horizontal="center" vertical="center" wrapText="1"/>
    </xf>
    <xf numFmtId="0" fontId="13" fillId="16" borderId="27" xfId="0" applyFont="1" applyFill="1" applyBorder="1" applyAlignment="1">
      <alignment vertical="center" wrapText="1"/>
    </xf>
    <xf numFmtId="0" fontId="19" fillId="16" borderId="27" xfId="0" applyFont="1" applyFill="1" applyBorder="1" applyAlignment="1">
      <alignment horizontal="center" vertical="center" wrapText="1" readingOrder="1"/>
    </xf>
    <xf numFmtId="9" fontId="19" fillId="16" borderId="27" xfId="0" applyNumberFormat="1" applyFont="1" applyFill="1" applyBorder="1" applyAlignment="1">
      <alignment horizontal="center" vertical="center" wrapText="1" readingOrder="1"/>
    </xf>
    <xf numFmtId="0" fontId="19" fillId="16" borderId="27" xfId="0" quotePrefix="1" applyFont="1" applyFill="1" applyBorder="1" applyAlignment="1">
      <alignment horizontal="center" vertical="center" wrapText="1" readingOrder="1"/>
    </xf>
    <xf numFmtId="0" fontId="19" fillId="16" borderId="37" xfId="0" quotePrefix="1" applyFont="1" applyFill="1" applyBorder="1" applyAlignment="1">
      <alignment horizontal="center" vertical="center" wrapText="1" readingOrder="1"/>
    </xf>
    <xf numFmtId="0" fontId="27" fillId="16" borderId="27" xfId="0" applyFont="1" applyFill="1" applyBorder="1" applyAlignment="1">
      <alignment vertical="center" wrapText="1"/>
    </xf>
    <xf numFmtId="0" fontId="15" fillId="7" borderId="27" xfId="0" applyFont="1" applyFill="1" applyBorder="1" applyAlignment="1">
      <alignment horizontal="center" vertical="center" wrapText="1"/>
    </xf>
    <xf numFmtId="0" fontId="40" fillId="33" borderId="55" xfId="0" applyFont="1" applyFill="1" applyBorder="1"/>
    <xf numFmtId="0" fontId="40" fillId="33" borderId="55" xfId="0" applyFont="1" applyFill="1" applyBorder="1" applyAlignment="1">
      <alignment horizontal="center"/>
    </xf>
    <xf numFmtId="0" fontId="39" fillId="32" borderId="27" xfId="0" applyFont="1" applyFill="1" applyBorder="1" applyAlignment="1">
      <alignment horizontal="center"/>
    </xf>
    <xf numFmtId="0" fontId="39" fillId="0" borderId="27" xfId="0" applyFont="1" applyBorder="1" applyAlignment="1">
      <alignment horizontal="center"/>
    </xf>
    <xf numFmtId="0" fontId="40" fillId="33" borderId="55" xfId="0" applyFont="1" applyFill="1" applyBorder="1" applyAlignment="1">
      <alignment horizontal="center" wrapText="1"/>
    </xf>
    <xf numFmtId="17" fontId="39" fillId="32" borderId="27" xfId="0" applyNumberFormat="1" applyFont="1" applyFill="1" applyBorder="1" applyAlignment="1">
      <alignment horizontal="center"/>
    </xf>
    <xf numFmtId="17" fontId="39" fillId="0" borderId="27" xfId="0" applyNumberFormat="1" applyFont="1" applyBorder="1" applyAlignment="1">
      <alignment horizontal="center"/>
    </xf>
    <xf numFmtId="0" fontId="40" fillId="33" borderId="55" xfId="0" applyFont="1" applyFill="1" applyBorder="1" applyAlignment="1">
      <alignment horizontal="center" vertical="center" wrapText="1"/>
    </xf>
    <xf numFmtId="0" fontId="39" fillId="32" borderId="27" xfId="0" applyFont="1" applyFill="1" applyBorder="1" applyAlignment="1">
      <alignment horizontal="center" vertical="center" wrapText="1"/>
    </xf>
    <xf numFmtId="0" fontId="0" fillId="0" borderId="0" xfId="0" applyAlignment="1">
      <alignment horizontal="center" vertical="center" wrapText="1"/>
    </xf>
    <xf numFmtId="0" fontId="39" fillId="32" borderId="27" xfId="0" applyFont="1" applyFill="1" applyBorder="1" applyAlignment="1">
      <alignment vertical="center" wrapText="1"/>
    </xf>
    <xf numFmtId="0" fontId="40" fillId="33" borderId="55" xfId="0" applyFont="1" applyFill="1" applyBorder="1" applyAlignment="1">
      <alignment horizontal="center" vertical="center"/>
    </xf>
    <xf numFmtId="0" fontId="40" fillId="33" borderId="56" xfId="0" applyFont="1" applyFill="1" applyBorder="1" applyAlignment="1">
      <alignment horizontal="center" vertical="center" wrapText="1"/>
    </xf>
    <xf numFmtId="14" fontId="39" fillId="32" borderId="27" xfId="0" applyNumberFormat="1" applyFont="1" applyFill="1" applyBorder="1" applyAlignment="1">
      <alignment horizontal="center" vertical="center"/>
    </xf>
    <xf numFmtId="0" fontId="39" fillId="32" borderId="37" xfId="0" applyFont="1" applyFill="1" applyBorder="1" applyAlignment="1">
      <alignment horizontal="center" vertical="center" wrapText="1"/>
    </xf>
    <xf numFmtId="0" fontId="39" fillId="0" borderId="27" xfId="0" applyFont="1" applyBorder="1" applyAlignment="1">
      <alignment horizontal="center" vertical="center"/>
    </xf>
    <xf numFmtId="14" fontId="39" fillId="0" borderId="27" xfId="0" applyNumberFormat="1" applyFont="1" applyBorder="1" applyAlignment="1">
      <alignment horizontal="center" vertical="center"/>
    </xf>
    <xf numFmtId="0" fontId="39" fillId="0" borderId="27" xfId="0" applyFont="1" applyBorder="1"/>
    <xf numFmtId="0" fontId="39" fillId="0" borderId="37" xfId="0" applyFont="1" applyBorder="1" applyAlignment="1">
      <alignment horizontal="left" vertical="center" wrapText="1"/>
    </xf>
    <xf numFmtId="0" fontId="39" fillId="0" borderId="0" xfId="0" applyFont="1"/>
    <xf numFmtId="0" fontId="39" fillId="0" borderId="27" xfId="0" applyFont="1" applyBorder="1" applyAlignment="1">
      <alignment horizontal="center" vertical="center" wrapText="1"/>
    </xf>
    <xf numFmtId="0" fontId="39" fillId="0" borderId="37" xfId="0" applyFont="1" applyBorder="1" applyAlignment="1">
      <alignment horizontal="center" vertical="center" wrapText="1"/>
    </xf>
    <xf numFmtId="0" fontId="16" fillId="14" borderId="21" xfId="0" applyFont="1" applyFill="1" applyBorder="1" applyAlignment="1">
      <alignment horizontal="left" vertical="top" wrapText="1"/>
    </xf>
    <xf numFmtId="0" fontId="16" fillId="14" borderId="22" xfId="0" applyFont="1" applyFill="1" applyBorder="1" applyAlignment="1">
      <alignment horizontal="left" vertical="top" wrapText="1"/>
    </xf>
    <xf numFmtId="0" fontId="0" fillId="2" borderId="3" xfId="0" applyFill="1" applyBorder="1" applyAlignment="1">
      <alignment horizontal="center" vertical="center" wrapText="1"/>
    </xf>
    <xf numFmtId="0" fontId="0" fillId="6" borderId="3" xfId="0" applyFill="1" applyBorder="1" applyAlignment="1">
      <alignment horizontal="center" vertical="center" wrapText="1"/>
    </xf>
    <xf numFmtId="17" fontId="41" fillId="2" borderId="4" xfId="0" applyNumberFormat="1" applyFont="1" applyFill="1" applyBorder="1" applyAlignment="1">
      <alignment horizontal="center" vertical="center" wrapText="1"/>
    </xf>
    <xf numFmtId="17" fontId="42" fillId="2" borderId="4" xfId="0" applyNumberFormat="1" applyFont="1" applyFill="1" applyBorder="1" applyAlignment="1">
      <alignment horizontal="center" vertical="center" wrapText="1"/>
    </xf>
    <xf numFmtId="0" fontId="13" fillId="12" borderId="21" xfId="0" applyFont="1" applyFill="1" applyBorder="1" applyAlignment="1">
      <alignment horizontal="center" vertical="center" wrapText="1"/>
    </xf>
    <xf numFmtId="0" fontId="13" fillId="0" borderId="51" xfId="0" applyFont="1" applyBorder="1" applyAlignment="1" applyProtection="1">
      <alignment horizontal="center" vertical="top" wrapText="1"/>
      <protection locked="0"/>
    </xf>
    <xf numFmtId="166" fontId="13" fillId="14" borderId="51" xfId="0" applyNumberFormat="1" applyFont="1" applyFill="1" applyBorder="1" applyAlignment="1" applyProtection="1">
      <alignment horizontal="center" vertical="center" wrapText="1"/>
      <protection locked="0"/>
    </xf>
    <xf numFmtId="166" fontId="13" fillId="14" borderId="51" xfId="0" applyNumberFormat="1" applyFont="1" applyFill="1" applyBorder="1" applyAlignment="1">
      <alignment horizontal="center" vertical="center" wrapText="1"/>
    </xf>
    <xf numFmtId="14" fontId="13" fillId="0" borderId="51" xfId="0" applyNumberFormat="1" applyFont="1" applyBorder="1" applyAlignment="1" applyProtection="1">
      <alignment horizontal="center" vertical="center"/>
      <protection locked="0"/>
    </xf>
    <xf numFmtId="14" fontId="24" fillId="0" borderId="51" xfId="0" applyNumberFormat="1" applyFont="1" applyBorder="1" applyAlignment="1" applyProtection="1">
      <alignment horizontal="center" vertical="center"/>
      <protection locked="0"/>
    </xf>
    <xf numFmtId="0" fontId="43" fillId="0" borderId="29" xfId="0" applyFont="1" applyBorder="1" applyAlignment="1">
      <alignment horizontal="left" vertical="top" wrapText="1"/>
    </xf>
    <xf numFmtId="0" fontId="14" fillId="0" borderId="22" xfId="0" applyFont="1" applyBorder="1" applyAlignment="1" applyProtection="1">
      <alignment horizontal="center" vertical="center"/>
      <protection locked="0"/>
    </xf>
    <xf numFmtId="0" fontId="14" fillId="0" borderId="51" xfId="0" applyFont="1" applyBorder="1" applyAlignment="1" applyProtection="1">
      <alignment horizontal="center" vertical="center" wrapText="1"/>
      <protection locked="0"/>
    </xf>
    <xf numFmtId="4" fontId="14" fillId="0" borderId="51" xfId="0" applyNumberFormat="1" applyFont="1" applyBorder="1" applyAlignment="1" applyProtection="1">
      <alignment horizontal="center" vertical="center" wrapText="1"/>
      <protection locked="0"/>
    </xf>
    <xf numFmtId="0" fontId="13" fillId="14" borderId="0" xfId="0" applyFont="1" applyFill="1" applyAlignment="1" applyProtection="1">
      <alignment vertical="top"/>
      <protection locked="0"/>
    </xf>
    <xf numFmtId="167" fontId="13" fillId="14" borderId="51" xfId="0" applyNumberFormat="1" applyFont="1" applyFill="1" applyBorder="1" applyAlignment="1" applyProtection="1">
      <alignment horizontal="center" vertical="center" wrapText="1"/>
      <protection locked="0"/>
    </xf>
    <xf numFmtId="0" fontId="13" fillId="14" borderId="51" xfId="0" applyFont="1" applyFill="1" applyBorder="1" applyAlignment="1" applyProtection="1">
      <alignment horizontal="center" vertical="center" wrapText="1"/>
      <protection locked="0"/>
    </xf>
    <xf numFmtId="0" fontId="13" fillId="12" borderId="21" xfId="0" applyFont="1" applyFill="1" applyBorder="1" applyAlignment="1" applyProtection="1">
      <alignment horizontal="center" vertical="center" wrapText="1"/>
      <protection locked="0"/>
    </xf>
    <xf numFmtId="0" fontId="20" fillId="0" borderId="51" xfId="0" applyFont="1" applyBorder="1" applyAlignment="1" applyProtection="1">
      <alignment horizontal="center" vertical="center" wrapText="1"/>
      <protection locked="0"/>
    </xf>
    <xf numFmtId="4" fontId="20" fillId="0" borderId="51" xfId="0" applyNumberFormat="1" applyFont="1" applyBorder="1" applyAlignment="1" applyProtection="1">
      <alignment horizontal="center" vertical="center" wrapText="1"/>
      <protection locked="0"/>
    </xf>
    <xf numFmtId="0" fontId="13" fillId="11" borderId="22" xfId="0" applyFont="1" applyFill="1" applyBorder="1" applyAlignment="1">
      <alignment horizontal="center" vertical="center" wrapText="1"/>
    </xf>
    <xf numFmtId="0" fontId="13" fillId="14" borderId="21" xfId="0" applyFont="1" applyFill="1" applyBorder="1" applyAlignment="1">
      <alignment horizontal="left" vertical="top" wrapText="1"/>
    </xf>
    <xf numFmtId="0" fontId="16" fillId="20" borderId="21" xfId="0" applyFont="1" applyFill="1" applyBorder="1" applyAlignment="1">
      <alignment horizontal="left" vertical="top" wrapText="1"/>
    </xf>
    <xf numFmtId="0" fontId="14" fillId="14" borderId="22" xfId="0" applyFont="1" applyFill="1" applyBorder="1" applyAlignment="1">
      <alignment horizontal="left" vertical="top" wrapText="1"/>
    </xf>
    <xf numFmtId="0" fontId="33" fillId="0" borderId="0" xfId="0" applyFont="1" applyAlignment="1">
      <alignment horizontal="center" vertical="center" wrapText="1"/>
    </xf>
    <xf numFmtId="0" fontId="40" fillId="33" borderId="54" xfId="0" applyFont="1" applyFill="1" applyBorder="1" applyAlignment="1">
      <alignment horizontal="left" vertical="center"/>
    </xf>
    <xf numFmtId="0" fontId="39" fillId="36" borderId="38" xfId="0" applyFont="1" applyFill="1" applyBorder="1" applyAlignment="1">
      <alignment horizontal="left" vertical="center"/>
    </xf>
    <xf numFmtId="0" fontId="39" fillId="38" borderId="38" xfId="0" applyFont="1" applyFill="1" applyBorder="1" applyAlignment="1">
      <alignment horizontal="left" vertical="center"/>
    </xf>
    <xf numFmtId="0" fontId="39" fillId="30" borderId="38" xfId="0" applyFont="1" applyFill="1" applyBorder="1" applyAlignment="1">
      <alignment horizontal="left" vertical="center"/>
    </xf>
    <xf numFmtId="0" fontId="39" fillId="35" borderId="38" xfId="0" applyFont="1" applyFill="1" applyBorder="1" applyAlignment="1">
      <alignment horizontal="left" vertical="center"/>
    </xf>
    <xf numFmtId="0" fontId="39" fillId="34" borderId="38" xfId="0" applyFont="1" applyFill="1" applyBorder="1" applyAlignment="1">
      <alignment horizontal="left" vertical="center"/>
    </xf>
    <xf numFmtId="0" fontId="39" fillId="40" borderId="38" xfId="0" applyFont="1" applyFill="1" applyBorder="1" applyAlignment="1">
      <alignment horizontal="left" vertical="center"/>
    </xf>
    <xf numFmtId="0" fontId="39" fillId="37" borderId="38" xfId="0" applyFont="1" applyFill="1" applyBorder="1" applyAlignment="1">
      <alignment horizontal="left" vertical="center"/>
    </xf>
    <xf numFmtId="0" fontId="39" fillId="23" borderId="38" xfId="0" applyFont="1" applyFill="1" applyBorder="1" applyAlignment="1">
      <alignment horizontal="left" vertical="center"/>
    </xf>
    <xf numFmtId="0" fontId="39" fillId="41" borderId="38" xfId="0" applyFont="1" applyFill="1" applyBorder="1" applyAlignment="1">
      <alignment horizontal="left" vertical="center"/>
    </xf>
    <xf numFmtId="0" fontId="39" fillId="39" borderId="38" xfId="0" applyFont="1" applyFill="1" applyBorder="1" applyAlignment="1">
      <alignment horizontal="left" vertical="center"/>
    </xf>
    <xf numFmtId="0" fontId="39" fillId="26" borderId="38" xfId="0" applyFont="1" applyFill="1" applyBorder="1" applyAlignment="1">
      <alignment horizontal="left" vertical="center"/>
    </xf>
    <xf numFmtId="0" fontId="39" fillId="9" borderId="38" xfId="0" applyFont="1" applyFill="1" applyBorder="1" applyAlignment="1">
      <alignment horizontal="left" vertical="center"/>
    </xf>
    <xf numFmtId="0" fontId="0" fillId="0" borderId="0" xfId="0" applyAlignment="1">
      <alignment horizontal="left" vertical="center"/>
    </xf>
    <xf numFmtId="0" fontId="39" fillId="0" borderId="27" xfId="0" applyFont="1" applyBorder="1" applyAlignment="1">
      <alignment vertical="top" wrapText="1"/>
    </xf>
    <xf numFmtId="0" fontId="0" fillId="0" borderId="0" xfId="0" applyAlignment="1">
      <alignment vertical="top" wrapText="1"/>
    </xf>
    <xf numFmtId="0" fontId="0" fillId="0" borderId="22" xfId="0" applyBorder="1" applyAlignment="1">
      <alignment horizontal="center" vertical="center"/>
    </xf>
    <xf numFmtId="0" fontId="0" fillId="0" borderId="22" xfId="0" applyBorder="1" applyAlignment="1">
      <alignment horizontal="left" vertical="top" wrapText="1"/>
    </xf>
    <xf numFmtId="14" fontId="39" fillId="32" borderId="27" xfId="0" applyNumberFormat="1" applyFont="1" applyFill="1" applyBorder="1" applyAlignment="1">
      <alignment horizontal="center"/>
    </xf>
    <xf numFmtId="0" fontId="39" fillId="7" borderId="27" xfId="0" applyFont="1" applyFill="1" applyBorder="1" applyAlignment="1">
      <alignment horizontal="center" vertical="center"/>
    </xf>
    <xf numFmtId="17" fontId="41" fillId="2" borderId="47" xfId="0" applyNumberFormat="1" applyFont="1" applyFill="1" applyBorder="1" applyAlignment="1">
      <alignment horizontal="center" vertical="center" wrapText="1"/>
    </xf>
    <xf numFmtId="0" fontId="14" fillId="0" borderId="51" xfId="0" applyFont="1" applyBorder="1" applyAlignment="1">
      <alignment horizontal="left" vertical="top" wrapText="1"/>
    </xf>
    <xf numFmtId="0" fontId="14" fillId="0" borderId="51" xfId="0" applyFont="1" applyBorder="1" applyAlignment="1">
      <alignment horizontal="center" vertical="center" wrapText="1"/>
    </xf>
    <xf numFmtId="166" fontId="14" fillId="0" borderId="51" xfId="0" applyNumberFormat="1" applyFont="1" applyBorder="1" applyAlignment="1" applyProtection="1">
      <alignment horizontal="center" vertical="center" wrapText="1"/>
      <protection locked="0"/>
    </xf>
    <xf numFmtId="14" fontId="14" fillId="0" borderId="51" xfId="0" applyNumberFormat="1" applyFont="1" applyBorder="1" applyAlignment="1" applyProtection="1">
      <alignment horizontal="center" vertical="center" wrapText="1"/>
      <protection locked="0"/>
    </xf>
    <xf numFmtId="0" fontId="34" fillId="42" borderId="51" xfId="0" applyFont="1" applyFill="1" applyBorder="1" applyAlignment="1" applyProtection="1">
      <alignment horizontal="center" vertical="center" wrapText="1"/>
      <protection locked="0"/>
    </xf>
    <xf numFmtId="0" fontId="24" fillId="0" borderId="21" xfId="0" applyFont="1" applyBorder="1" applyAlignment="1" applyProtection="1">
      <alignment horizontal="center" vertical="center"/>
      <protection locked="0"/>
    </xf>
    <xf numFmtId="0" fontId="20" fillId="0" borderId="21" xfId="0" applyFont="1" applyBorder="1" applyAlignment="1" applyProtection="1">
      <alignment horizontal="center" vertical="center" wrapText="1"/>
      <protection locked="0"/>
    </xf>
    <xf numFmtId="4" fontId="20" fillId="0" borderId="21" xfId="0" applyNumberFormat="1" applyFont="1" applyBorder="1" applyAlignment="1" applyProtection="1">
      <alignment horizontal="center" vertical="center" wrapText="1"/>
      <protection locked="0"/>
    </xf>
    <xf numFmtId="0" fontId="13" fillId="0" borderId="57" xfId="0" applyFont="1" applyBorder="1" applyAlignment="1">
      <alignment horizontal="center" vertical="center" wrapText="1"/>
    </xf>
    <xf numFmtId="0" fontId="13" fillId="0" borderId="58" xfId="0" applyFont="1" applyBorder="1" applyAlignment="1" applyProtection="1">
      <alignment horizontal="center" vertical="center" wrapText="1"/>
      <protection locked="0"/>
    </xf>
    <xf numFmtId="0" fontId="13" fillId="0" borderId="58" xfId="0" applyFont="1" applyBorder="1" applyAlignment="1">
      <alignment horizontal="center" vertical="center" wrapText="1"/>
    </xf>
    <xf numFmtId="0" fontId="13" fillId="0" borderId="58" xfId="0" applyFont="1" applyBorder="1" applyAlignment="1">
      <alignment horizontal="left" vertical="top" wrapText="1"/>
    </xf>
    <xf numFmtId="166" fontId="13" fillId="0" borderId="58" xfId="0" applyNumberFormat="1" applyFont="1" applyBorder="1" applyAlignment="1">
      <alignment horizontal="center" vertical="center" wrapText="1"/>
    </xf>
    <xf numFmtId="166" fontId="13" fillId="0" borderId="58" xfId="0" applyNumberFormat="1" applyFont="1" applyBorder="1" applyAlignment="1" applyProtection="1">
      <alignment horizontal="center" vertical="center" wrapText="1"/>
      <protection locked="0"/>
    </xf>
    <xf numFmtId="167" fontId="13" fillId="0" borderId="58" xfId="0" applyNumberFormat="1" applyFont="1" applyBorder="1" applyAlignment="1" applyProtection="1">
      <alignment horizontal="center" vertical="center" wrapText="1"/>
      <protection locked="0"/>
    </xf>
    <xf numFmtId="0" fontId="13" fillId="0" borderId="58" xfId="0" applyFont="1" applyBorder="1" applyAlignment="1" applyProtection="1">
      <alignment horizontal="center" vertical="top" wrapText="1"/>
      <protection locked="0"/>
    </xf>
    <xf numFmtId="166" fontId="13" fillId="14" borderId="58" xfId="0" applyNumberFormat="1" applyFont="1" applyFill="1" applyBorder="1" applyAlignment="1" applyProtection="1">
      <alignment horizontal="center" vertical="center" wrapText="1"/>
      <protection locked="0"/>
    </xf>
    <xf numFmtId="0" fontId="13" fillId="0" borderId="58" xfId="0" applyFont="1" applyBorder="1" applyAlignment="1" applyProtection="1">
      <alignment horizontal="center" vertical="center"/>
      <protection locked="0"/>
    </xf>
    <xf numFmtId="14" fontId="13" fillId="0" borderId="58" xfId="0" applyNumberFormat="1" applyFont="1" applyBorder="1" applyAlignment="1" applyProtection="1">
      <alignment horizontal="center" vertical="center" wrapText="1"/>
      <protection locked="0"/>
    </xf>
    <xf numFmtId="14" fontId="13" fillId="0" borderId="58" xfId="0" applyNumberFormat="1" applyFont="1" applyBorder="1" applyAlignment="1" applyProtection="1">
      <alignment horizontal="center" vertical="center"/>
      <protection locked="0"/>
    </xf>
    <xf numFmtId="14" fontId="24" fillId="0" borderId="58" xfId="0" applyNumberFormat="1" applyFont="1" applyBorder="1" applyAlignment="1" applyProtection="1">
      <alignment horizontal="center" vertical="center"/>
      <protection locked="0"/>
    </xf>
    <xf numFmtId="9" fontId="13" fillId="0" borderId="58" xfId="0" applyNumberFormat="1" applyFont="1" applyBorder="1" applyAlignment="1" applyProtection="1">
      <alignment horizontal="center" vertical="center" wrapText="1"/>
      <protection locked="0"/>
    </xf>
    <xf numFmtId="9" fontId="13" fillId="0" borderId="58" xfId="0" applyNumberFormat="1" applyFont="1" applyBorder="1" applyAlignment="1" applyProtection="1">
      <alignment horizontal="center" vertical="center"/>
      <protection locked="0"/>
    </xf>
    <xf numFmtId="9" fontId="13" fillId="0" borderId="21" xfId="0" applyNumberFormat="1" applyFont="1" applyBorder="1" applyAlignment="1" applyProtection="1">
      <alignment horizontal="center" vertical="center"/>
      <protection locked="0"/>
    </xf>
    <xf numFmtId="0" fontId="20" fillId="0" borderId="58" xfId="0" applyFont="1" applyBorder="1" applyAlignment="1" applyProtection="1">
      <alignment horizontal="center" vertical="center" wrapText="1"/>
      <protection locked="0"/>
    </xf>
    <xf numFmtId="0" fontId="16" fillId="0" borderId="59" xfId="0" applyFont="1" applyBorder="1" applyAlignment="1" applyProtection="1">
      <alignment horizontal="left" vertical="top" wrapText="1"/>
      <protection locked="0"/>
    </xf>
    <xf numFmtId="14" fontId="20" fillId="14" borderId="22" xfId="0" applyNumberFormat="1" applyFont="1" applyFill="1" applyBorder="1" applyAlignment="1" applyProtection="1">
      <alignment horizontal="center" vertical="center"/>
      <protection locked="0"/>
    </xf>
    <xf numFmtId="4" fontId="47" fillId="0" borderId="21" xfId="0" applyNumberFormat="1" applyFont="1" applyBorder="1" applyAlignment="1" applyProtection="1">
      <alignment vertical="top" wrapText="1"/>
      <protection locked="0"/>
    </xf>
    <xf numFmtId="17" fontId="42" fillId="2" borderId="47" xfId="0" applyNumberFormat="1" applyFont="1" applyFill="1" applyBorder="1" applyAlignment="1">
      <alignment horizontal="center" vertical="center" wrapText="1"/>
    </xf>
    <xf numFmtId="17" fontId="20" fillId="2" borderId="4" xfId="0" applyNumberFormat="1" applyFont="1" applyFill="1" applyBorder="1" applyAlignment="1">
      <alignment horizontal="center" vertical="center" wrapText="1"/>
    </xf>
    <xf numFmtId="17" fontId="13" fillId="2" borderId="4" xfId="0" applyNumberFormat="1" applyFont="1" applyFill="1" applyBorder="1" applyAlignment="1">
      <alignment horizontal="center" vertical="center" wrapText="1"/>
    </xf>
    <xf numFmtId="14" fontId="20" fillId="0" borderId="22" xfId="0" applyNumberFormat="1" applyFont="1" applyBorder="1" applyAlignment="1" applyProtection="1">
      <alignment horizontal="center" vertical="center"/>
      <protection locked="0"/>
    </xf>
    <xf numFmtId="0" fontId="13" fillId="14" borderId="21" xfId="0" applyFont="1" applyFill="1" applyBorder="1" applyAlignment="1" applyProtection="1">
      <alignment horizontal="center" vertical="center"/>
      <protection locked="0"/>
    </xf>
    <xf numFmtId="14" fontId="16" fillId="14" borderId="51" xfId="0" applyNumberFormat="1" applyFont="1" applyFill="1" applyBorder="1" applyAlignment="1" applyProtection="1">
      <alignment horizontal="center" vertical="center"/>
      <protection locked="0"/>
    </xf>
    <xf numFmtId="0" fontId="43" fillId="0" borderId="23" xfId="0" applyFont="1" applyBorder="1" applyAlignment="1">
      <alignment horizontal="center" vertical="center" wrapText="1"/>
    </xf>
    <xf numFmtId="0" fontId="16" fillId="43" borderId="21" xfId="0" applyFont="1" applyFill="1" applyBorder="1" applyAlignment="1">
      <alignment horizontal="left" vertical="top" wrapText="1"/>
    </xf>
    <xf numFmtId="0" fontId="52" fillId="16" borderId="27" xfId="0" applyFont="1" applyFill="1" applyBorder="1" applyAlignment="1">
      <alignment vertical="top" wrapText="1"/>
    </xf>
    <xf numFmtId="4" fontId="20" fillId="0" borderId="58" xfId="0" applyNumberFormat="1" applyFont="1" applyBorder="1" applyAlignment="1" applyProtection="1">
      <alignment horizontal="center" vertical="center" wrapText="1"/>
      <protection locked="0"/>
    </xf>
    <xf numFmtId="0" fontId="13" fillId="14" borderId="58" xfId="0" applyFont="1" applyFill="1" applyBorder="1" applyAlignment="1" applyProtection="1">
      <alignment horizontal="center" vertical="center" wrapText="1"/>
      <protection locked="0"/>
    </xf>
    <xf numFmtId="0" fontId="14" fillId="14" borderId="22" xfId="0" applyFont="1" applyFill="1" applyBorder="1" applyAlignment="1" applyProtection="1">
      <alignment horizontal="center" vertical="center"/>
      <protection locked="0"/>
    </xf>
    <xf numFmtId="0" fontId="53" fillId="0" borderId="29" xfId="0" applyFont="1" applyBorder="1" applyAlignment="1">
      <alignment horizontal="left" vertical="top" wrapText="1"/>
    </xf>
    <xf numFmtId="0" fontId="43" fillId="0" borderId="29" xfId="0" applyFont="1" applyBorder="1" applyAlignment="1">
      <alignment horizontal="center" vertical="center" wrapText="1"/>
    </xf>
    <xf numFmtId="0" fontId="20" fillId="0" borderId="0" xfId="0" applyFont="1" applyAlignment="1" applyProtection="1">
      <alignment horizontal="center" vertical="center"/>
      <protection locked="0"/>
    </xf>
    <xf numFmtId="0" fontId="14" fillId="14" borderId="21" xfId="0" applyFont="1" applyFill="1" applyBorder="1" applyAlignment="1" applyProtection="1">
      <alignment horizontal="center" vertical="center"/>
      <protection locked="0"/>
    </xf>
    <xf numFmtId="4" fontId="55" fillId="0" borderId="21" xfId="0" applyNumberFormat="1" applyFont="1" applyBorder="1" applyAlignment="1" applyProtection="1">
      <alignment horizontal="left" vertical="top" wrapText="1"/>
      <protection locked="0"/>
    </xf>
    <xf numFmtId="0" fontId="47" fillId="20" borderId="22" xfId="0" applyFont="1" applyFill="1" applyBorder="1" applyAlignment="1">
      <alignment horizontal="left" vertical="top" wrapText="1"/>
    </xf>
    <xf numFmtId="9" fontId="13" fillId="0" borderId="37" xfId="0" applyNumberFormat="1" applyFont="1" applyBorder="1" applyAlignment="1">
      <alignment horizontal="center" vertical="center"/>
    </xf>
    <xf numFmtId="9" fontId="13" fillId="16" borderId="37" xfId="0" applyNumberFormat="1" applyFont="1" applyFill="1" applyBorder="1" applyAlignment="1">
      <alignment horizontal="center" vertical="center"/>
    </xf>
    <xf numFmtId="9" fontId="24" fillId="16" borderId="37" xfId="0" quotePrefix="1" applyNumberFormat="1" applyFont="1" applyFill="1" applyBorder="1" applyAlignment="1">
      <alignment horizontal="center" vertical="center" wrapText="1" readingOrder="1"/>
    </xf>
    <xf numFmtId="0" fontId="25" fillId="5" borderId="61" xfId="0" applyFont="1" applyFill="1" applyBorder="1" applyAlignment="1">
      <alignment horizontal="center" vertical="center" wrapText="1" readingOrder="1"/>
    </xf>
    <xf numFmtId="0" fontId="25" fillId="44" borderId="61" xfId="0" applyFont="1" applyFill="1" applyBorder="1" applyAlignment="1">
      <alignment horizontal="center" vertical="center" wrapText="1" readingOrder="1"/>
    </xf>
    <xf numFmtId="0" fontId="44" fillId="0" borderId="27" xfId="0" applyFont="1" applyBorder="1" applyAlignment="1">
      <alignment vertical="top" wrapText="1"/>
    </xf>
    <xf numFmtId="0" fontId="46" fillId="0" borderId="27" xfId="0" applyFont="1" applyBorder="1" applyAlignment="1">
      <alignment vertical="top" wrapText="1"/>
    </xf>
    <xf numFmtId="14" fontId="16" fillId="0" borderId="51" xfId="0" applyNumberFormat="1" applyFont="1" applyBorder="1" applyAlignment="1" applyProtection="1">
      <alignment horizontal="center" vertical="center"/>
      <protection locked="0"/>
    </xf>
    <xf numFmtId="0" fontId="13" fillId="0" borderId="21" xfId="0" quotePrefix="1" applyFont="1" applyBorder="1" applyAlignment="1" applyProtection="1">
      <alignment horizontal="center" vertical="center" wrapText="1"/>
      <protection locked="0"/>
    </xf>
    <xf numFmtId="0" fontId="12" fillId="10" borderId="23" xfId="0" applyFont="1" applyFill="1" applyBorder="1" applyAlignment="1">
      <alignment horizontal="center" vertical="center" wrapText="1"/>
    </xf>
    <xf numFmtId="0" fontId="12" fillId="23" borderId="23" xfId="0" applyFont="1" applyFill="1" applyBorder="1" applyAlignment="1">
      <alignment horizontal="center" vertical="center" wrapText="1"/>
    </xf>
    <xf numFmtId="0" fontId="12" fillId="24" borderId="23" xfId="0" applyFont="1" applyFill="1" applyBorder="1" applyAlignment="1">
      <alignment horizontal="center" vertical="center" wrapText="1"/>
    </xf>
    <xf numFmtId="0" fontId="13" fillId="14" borderId="21" xfId="0" applyFont="1" applyFill="1" applyBorder="1" applyAlignment="1">
      <alignment horizontal="center" vertical="center"/>
    </xf>
    <xf numFmtId="0" fontId="56" fillId="45" borderId="23" xfId="0" applyFont="1" applyFill="1" applyBorder="1" applyAlignment="1">
      <alignment wrapText="1"/>
    </xf>
    <xf numFmtId="0" fontId="56" fillId="45" borderId="25" xfId="0" applyFont="1" applyFill="1" applyBorder="1" applyAlignment="1">
      <alignment wrapText="1"/>
    </xf>
    <xf numFmtId="0" fontId="56" fillId="45" borderId="62" xfId="0" applyFont="1" applyFill="1" applyBorder="1" applyAlignment="1">
      <alignment wrapText="1"/>
    </xf>
    <xf numFmtId="0" fontId="56" fillId="45" borderId="63" xfId="0" applyFont="1" applyFill="1" applyBorder="1" applyAlignment="1">
      <alignment wrapText="1"/>
    </xf>
    <xf numFmtId="0" fontId="35" fillId="0" borderId="21" xfId="0" applyFont="1" applyBorder="1" applyAlignment="1">
      <alignment wrapText="1"/>
    </xf>
    <xf numFmtId="0" fontId="35" fillId="0" borderId="59" xfId="0" applyFont="1" applyBorder="1" applyAlignment="1">
      <alignment wrapText="1"/>
    </xf>
    <xf numFmtId="0" fontId="18" fillId="0" borderId="0" xfId="0" applyFont="1"/>
    <xf numFmtId="0" fontId="35" fillId="0" borderId="46" xfId="0" applyFont="1" applyBorder="1" applyAlignment="1">
      <alignment wrapText="1"/>
    </xf>
    <xf numFmtId="0" fontId="35" fillId="0" borderId="64" xfId="0" applyFont="1" applyBorder="1" applyAlignment="1">
      <alignment wrapText="1"/>
    </xf>
    <xf numFmtId="0" fontId="35" fillId="46" borderId="64" xfId="0" applyFont="1" applyFill="1" applyBorder="1" applyAlignment="1">
      <alignment wrapText="1"/>
    </xf>
    <xf numFmtId="0" fontId="36" fillId="0" borderId="64" xfId="0" applyFont="1" applyBorder="1"/>
    <xf numFmtId="14" fontId="18" fillId="0" borderId="0" xfId="0" applyNumberFormat="1" applyFont="1"/>
    <xf numFmtId="0" fontId="57" fillId="0" borderId="27" xfId="0" applyFont="1" applyBorder="1" applyAlignment="1">
      <alignment vertical="top" wrapText="1"/>
    </xf>
    <xf numFmtId="0" fontId="13" fillId="47" borderId="21" xfId="0" applyFont="1" applyFill="1" applyBorder="1" applyAlignment="1">
      <alignment horizontal="center" vertical="center" wrapText="1"/>
    </xf>
    <xf numFmtId="166" fontId="24" fillId="47" borderId="21" xfId="0" applyNumberFormat="1" applyFont="1" applyFill="1" applyBorder="1" applyAlignment="1">
      <alignment horizontal="center" vertical="center" wrapText="1"/>
    </xf>
    <xf numFmtId="0" fontId="24" fillId="47" borderId="21" xfId="0" applyFont="1" applyFill="1" applyBorder="1" applyAlignment="1" applyProtection="1">
      <alignment horizontal="center" vertical="center" wrapText="1"/>
      <protection locked="0"/>
    </xf>
    <xf numFmtId="14" fontId="24" fillId="47" borderId="21" xfId="0" applyNumberFormat="1" applyFont="1" applyFill="1" applyBorder="1" applyAlignment="1">
      <alignment horizontal="center" vertical="center" wrapText="1"/>
    </xf>
    <xf numFmtId="0" fontId="13" fillId="47" borderId="0" xfId="0" applyFont="1" applyFill="1" applyAlignment="1" applyProtection="1">
      <alignment horizontal="center" vertical="center"/>
      <protection locked="0"/>
    </xf>
    <xf numFmtId="14" fontId="24" fillId="47" borderId="21" xfId="0" applyNumberFormat="1" applyFont="1" applyFill="1" applyBorder="1" applyAlignment="1" applyProtection="1">
      <alignment horizontal="center" vertical="center" wrapText="1"/>
      <protection locked="0"/>
    </xf>
    <xf numFmtId="0" fontId="24" fillId="47" borderId="21" xfId="0" applyFont="1" applyFill="1" applyBorder="1" applyAlignment="1">
      <alignment horizontal="center" vertical="center" wrapText="1"/>
    </xf>
    <xf numFmtId="167" fontId="24" fillId="47" borderId="21" xfId="0" applyNumberFormat="1" applyFont="1" applyFill="1" applyBorder="1" applyAlignment="1" applyProtection="1">
      <alignment horizontal="center" vertical="center" wrapText="1"/>
      <protection locked="0"/>
    </xf>
    <xf numFmtId="14" fontId="16" fillId="47" borderId="21" xfId="0" applyNumberFormat="1" applyFont="1" applyFill="1" applyBorder="1" applyAlignment="1" applyProtection="1">
      <alignment horizontal="center" vertical="center"/>
      <protection locked="0"/>
    </xf>
    <xf numFmtId="9" fontId="24" fillId="47" borderId="21" xfId="1" applyFont="1" applyFill="1" applyBorder="1" applyAlignment="1" applyProtection="1">
      <alignment horizontal="center" vertical="center" wrapText="1"/>
      <protection locked="0"/>
    </xf>
    <xf numFmtId="9" fontId="13" fillId="47" borderId="21" xfId="1" applyFont="1" applyFill="1" applyBorder="1" applyAlignment="1" applyProtection="1">
      <alignment horizontal="center" vertical="center"/>
      <protection locked="0"/>
    </xf>
    <xf numFmtId="9" fontId="24" fillId="47" borderId="21" xfId="1" applyFont="1" applyFill="1" applyBorder="1" applyAlignment="1" applyProtection="1">
      <alignment horizontal="center" vertical="center"/>
      <protection locked="0"/>
    </xf>
    <xf numFmtId="17" fontId="42" fillId="47" borderId="4" xfId="0" applyNumberFormat="1" applyFont="1" applyFill="1" applyBorder="1" applyAlignment="1">
      <alignment horizontal="center" vertical="center" wrapText="1"/>
    </xf>
    <xf numFmtId="0" fontId="15" fillId="47" borderId="21" xfId="0" applyFont="1" applyFill="1" applyBorder="1" applyAlignment="1" applyProtection="1">
      <alignment horizontal="center" vertical="center"/>
      <protection locked="0"/>
    </xf>
    <xf numFmtId="4" fontId="24" fillId="47" borderId="21" xfId="0" applyNumberFormat="1" applyFont="1" applyFill="1" applyBorder="1" applyAlignment="1" applyProtection="1">
      <alignment horizontal="center" vertical="center" wrapText="1"/>
      <protection locked="0"/>
    </xf>
    <xf numFmtId="14" fontId="24" fillId="47" borderId="21" xfId="0" applyNumberFormat="1" applyFont="1" applyFill="1" applyBorder="1" applyAlignment="1" applyProtection="1">
      <alignment horizontal="center" vertical="center"/>
      <protection locked="0"/>
    </xf>
    <xf numFmtId="0" fontId="13" fillId="47" borderId="0" xfId="0" applyFont="1" applyFill="1" applyAlignment="1" applyProtection="1">
      <alignment vertical="top"/>
      <protection locked="0"/>
    </xf>
    <xf numFmtId="0" fontId="24" fillId="14" borderId="21" xfId="0" applyFont="1" applyFill="1" applyBorder="1" applyAlignment="1" applyProtection="1">
      <alignment horizontal="center" vertical="center"/>
      <protection locked="0"/>
    </xf>
    <xf numFmtId="0" fontId="24" fillId="0" borderId="58" xfId="0" applyFont="1" applyBorder="1" applyAlignment="1">
      <alignment horizontal="left" vertical="top" wrapText="1"/>
    </xf>
    <xf numFmtId="0" fontId="24" fillId="0" borderId="51" xfId="0" applyFont="1" applyBorder="1" applyAlignment="1">
      <alignment horizontal="left" vertical="top" wrapText="1"/>
    </xf>
    <xf numFmtId="0" fontId="43" fillId="7" borderId="29" xfId="0" applyFont="1" applyFill="1" applyBorder="1" applyAlignment="1">
      <alignment horizontal="center" vertical="top" wrapText="1"/>
    </xf>
    <xf numFmtId="0" fontId="43" fillId="7" borderId="65" xfId="0" applyFont="1" applyFill="1" applyBorder="1" applyAlignment="1">
      <alignment horizontal="center" vertical="top" wrapText="1"/>
    </xf>
    <xf numFmtId="14" fontId="43" fillId="7" borderId="23" xfId="0" applyNumberFormat="1" applyFont="1" applyFill="1" applyBorder="1" applyAlignment="1">
      <alignment horizontal="center" vertical="top" wrapText="1"/>
    </xf>
    <xf numFmtId="0" fontId="43" fillId="7" borderId="23" xfId="0" applyFont="1" applyFill="1" applyBorder="1" applyAlignment="1">
      <alignment horizontal="center" vertical="top" wrapText="1"/>
    </xf>
    <xf numFmtId="14" fontId="20" fillId="0" borderId="58" xfId="0" applyNumberFormat="1" applyFont="1" applyBorder="1" applyAlignment="1" applyProtection="1">
      <alignment horizontal="center" vertical="center"/>
      <protection locked="0"/>
    </xf>
    <xf numFmtId="9" fontId="20" fillId="0" borderId="58" xfId="0" applyNumberFormat="1" applyFont="1" applyBorder="1" applyAlignment="1" applyProtection="1">
      <alignment horizontal="center" vertical="center" wrapText="1"/>
      <protection locked="0"/>
    </xf>
    <xf numFmtId="14" fontId="20" fillId="0" borderId="51" xfId="0" applyNumberFormat="1" applyFont="1" applyBorder="1" applyAlignment="1" applyProtection="1">
      <alignment horizontal="center" vertical="center"/>
      <protection locked="0"/>
    </xf>
    <xf numFmtId="9" fontId="20" fillId="0" borderId="51" xfId="0" applyNumberFormat="1" applyFont="1" applyBorder="1" applyAlignment="1" applyProtection="1">
      <alignment horizontal="center" vertical="center" wrapText="1"/>
      <protection locked="0"/>
    </xf>
    <xf numFmtId="0" fontId="30" fillId="22" borderId="0" xfId="2" applyFont="1" applyFill="1" applyAlignment="1" applyProtection="1">
      <alignment horizontal="right" vertical="center"/>
      <protection locked="0"/>
    </xf>
    <xf numFmtId="0" fontId="28" fillId="0" borderId="0" xfId="0" applyFont="1" applyAlignment="1" applyProtection="1">
      <alignment horizontal="left" vertical="center"/>
      <protection locked="0"/>
    </xf>
    <xf numFmtId="0" fontId="25" fillId="5" borderId="27" xfId="0" applyFont="1" applyFill="1" applyBorder="1" applyAlignment="1">
      <alignment horizontal="center" vertical="center" wrapText="1" readingOrder="1"/>
    </xf>
    <xf numFmtId="0" fontId="25" fillId="25" borderId="37" xfId="0" applyFont="1" applyFill="1" applyBorder="1" applyAlignment="1">
      <alignment horizontal="center" vertical="center" wrapText="1" readingOrder="1"/>
    </xf>
    <xf numFmtId="0" fontId="25" fillId="25" borderId="38" xfId="0" applyFont="1" applyFill="1" applyBorder="1" applyAlignment="1">
      <alignment horizontal="center" vertical="center" wrapText="1" readingOrder="1"/>
    </xf>
    <xf numFmtId="0" fontId="25" fillId="26" borderId="37" xfId="0" applyFont="1" applyFill="1" applyBorder="1" applyAlignment="1">
      <alignment horizontal="center" vertical="center" wrapText="1" readingOrder="1"/>
    </xf>
    <xf numFmtId="0" fontId="25" fillId="26" borderId="60" xfId="0" applyFont="1" applyFill="1" applyBorder="1" applyAlignment="1">
      <alignment horizontal="center" vertical="center" wrapText="1" readingOrder="1"/>
    </xf>
    <xf numFmtId="0" fontId="25" fillId="26" borderId="38" xfId="0" applyFont="1" applyFill="1" applyBorder="1" applyAlignment="1">
      <alignment horizontal="center" vertical="center" wrapText="1" readingOrder="1"/>
    </xf>
    <xf numFmtId="0" fontId="6" fillId="2" borderId="7" xfId="0" applyFont="1" applyFill="1" applyBorder="1" applyAlignment="1">
      <alignment vertical="center" wrapText="1"/>
    </xf>
    <xf numFmtId="0" fontId="6" fillId="2" borderId="8" xfId="0" applyFont="1" applyFill="1" applyBorder="1" applyAlignment="1">
      <alignment vertical="center" wrapText="1"/>
    </xf>
    <xf numFmtId="0" fontId="6" fillId="2" borderId="9" xfId="0" applyFont="1" applyFill="1" applyBorder="1" applyAlignment="1">
      <alignment vertical="center" wrapText="1"/>
    </xf>
    <xf numFmtId="0" fontId="3" fillId="9" borderId="0" xfId="0" applyFont="1" applyFill="1" applyAlignment="1">
      <alignment horizontal="center"/>
    </xf>
    <xf numFmtId="0" fontId="3" fillId="0" borderId="0" xfId="0" applyFont="1" applyAlignment="1">
      <alignment horizontal="center"/>
    </xf>
    <xf numFmtId="0" fontId="22" fillId="21" borderId="0" xfId="0" applyFont="1" applyFill="1" applyAlignment="1">
      <alignment horizontal="center" vertical="center"/>
    </xf>
    <xf numFmtId="0" fontId="11" fillId="21" borderId="0" xfId="0" applyFont="1" applyFill="1" applyAlignment="1">
      <alignment horizontal="left" vertical="center"/>
    </xf>
  </cellXfs>
  <cellStyles count="4">
    <cellStyle name="Hyperlink" xfId="3" xr:uid="{00000000-000B-0000-0000-000008000000}"/>
    <cellStyle name="Normal" xfId="0" builtinId="0"/>
    <cellStyle name="Normal 2" xfId="2" xr:uid="{590182C4-FC73-405D-9DB0-0DCFE70BB0EB}"/>
    <cellStyle name="Porcentaje" xfId="1" builtinId="5"/>
  </cellStyles>
  <dxfs count="179">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1"/>
        <color theme="1"/>
        <name val="Calibri"/>
        <family val="2"/>
        <scheme val="minor"/>
      </font>
      <alignment horizontal="center" vertical="center" textRotation="0" indent="0" justifyLastLine="0" shrinkToFit="0" readingOrder="0"/>
    </dxf>
    <dxf>
      <font>
        <b/>
        <strike val="0"/>
        <outline val="0"/>
        <shadow val="0"/>
        <u val="none"/>
        <vertAlign val="baseline"/>
        <sz val="11"/>
        <color theme="1"/>
        <name val="Calibri"/>
        <family val="2"/>
        <scheme val="minor"/>
      </font>
      <alignment horizontal="center" vertical="center" textRotation="0" indent="0" justifyLastLine="0" shrinkToFit="0" readingOrder="0"/>
    </dxf>
    <dxf>
      <fill>
        <patternFill patternType="none"/>
      </fill>
      <alignment horizontal="general" vertical="center" textRotation="0" wrapText="1" indent="0" justifyLastLine="0" shrinkToFit="0" readingOrder="0"/>
      <border diagonalUp="0" diagonalDown="0">
        <left style="dashDot">
          <color indexed="64"/>
        </left>
        <right style="dashDot">
          <color indexed="64"/>
        </right>
        <top style="dashDot">
          <color indexed="64"/>
        </top>
        <bottom style="dashDot">
          <color indexed="64"/>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auto="1"/>
        </left>
        <right style="thin">
          <color auto="1"/>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auto="1"/>
        </left>
        <right style="thin">
          <color indexed="64"/>
        </right>
        <top style="thin">
          <color indexed="64"/>
        </top>
        <bottom style="thin">
          <color indexed="64"/>
        </bottom>
      </border>
    </dxf>
    <dxf>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theme="4" tint="0.39997558519241921"/>
        </top>
        <bottom style="thin">
          <color auto="1"/>
        </bottom>
      </border>
    </dxf>
    <dxf>
      <alignment horizontal="lef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fill>
        <patternFill patternType="solid">
          <fgColor theme="0" tint="-0.14999847407452621"/>
          <bgColor theme="0" tint="-0.14999847407452621"/>
        </patternFill>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minor"/>
      </font>
      <fill>
        <patternFill patternType="solid">
          <fgColor indexed="64"/>
          <bgColor theme="8" tint="-0.499984740745262"/>
        </patternFill>
      </fill>
      <alignment horizontal="center"/>
    </dxf>
    <dxf>
      <fill>
        <patternFill patternType="none"/>
      </fill>
      <border diagonalUp="0" diagonalDown="0">
        <left/>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top style="thin">
          <color theme="1"/>
        </top>
        <bottom style="thin">
          <color theme="1"/>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indexed="64"/>
          <bgColor theme="8" tint="-0.499984740745262"/>
        </patternFill>
      </fill>
      <alignment horizontal="center"/>
    </dxf>
    <dxf>
      <fill>
        <patternFill patternType="solid">
          <fgColor indexed="64"/>
          <bgColor theme="8" tint="-0.499984740745262"/>
        </patternFill>
      </fill>
      <alignment horizontal="cent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ill>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8" tint="-0.499984740745262"/>
        </patternFill>
      </fill>
      <alignment horizontal="center" vertical="center" textRotation="0" wrapText="0" indent="0" justifyLastLine="0" shrinkToFit="0" readingOrder="0"/>
      <border diagonalUp="0" diagonalDown="0">
        <left style="thin">
          <color indexed="64"/>
        </left>
        <right style="thin">
          <color indexed="64"/>
        </right>
        <top/>
        <bottom/>
      </border>
    </dxf>
    <dxf>
      <fill>
        <patternFill patternType="solid">
          <fgColor indexed="64"/>
          <bgColor theme="8" tint="-0.499984740745262"/>
        </patternFill>
      </fill>
      <alignment horizontal="center"/>
    </dxf>
    <dxf>
      <fill>
        <patternFill patternType="none"/>
      </fill>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1E4E79"/>
        </patternFill>
      </fill>
      <alignment horizontal="center" vertical="center"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rgb="FF1E4E79"/>
        </patternFill>
      </fill>
      <alignment horizontal="center" vertical="center" textRotation="0" wrapText="0" indent="0" justifyLastLine="0" shrinkToFit="0" readingOrder="0"/>
    </dxf>
    <dxf>
      <font>
        <color rgb="FFFF0000"/>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outline="0">
        <left/>
        <right style="thin">
          <color auto="1"/>
        </right>
        <top style="thin">
          <color auto="1"/>
        </top>
        <bottom style="thin">
          <color auto="1"/>
        </bottom>
      </border>
    </dxf>
    <dxf>
      <font>
        <sz val="10"/>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rgb="FF1E4E79"/>
        </patternFill>
      </fill>
      <alignment horizontal="center" vertical="center" textRotation="0" wrapText="1" indent="0" justifyLastLine="0" shrinkToFit="0" readingOrder="0"/>
      <border diagonalUp="0" diagonalDown="0">
        <left style="thin">
          <color indexed="64"/>
        </left>
        <right style="thin">
          <color indexed="64"/>
        </right>
        <top/>
        <bottom/>
      </border>
    </dxf>
    <dxf>
      <font>
        <color rgb="FF9C0006"/>
      </font>
      <fill>
        <patternFill>
          <bgColor rgb="FFFFC7CE"/>
        </patternFill>
      </fill>
    </dxf>
    <dxf>
      <font>
        <b/>
        <i val="0"/>
        <color theme="0"/>
      </font>
      <fill>
        <patternFill>
          <bgColor rgb="FFC00000"/>
        </patternFill>
      </fill>
    </dxf>
    <dxf>
      <font>
        <b/>
        <i val="0"/>
        <color auto="1"/>
      </font>
      <fill>
        <patternFill>
          <bgColor rgb="FFFFC000"/>
        </patternFill>
      </fill>
    </dxf>
    <dxf>
      <font>
        <color theme="0"/>
      </font>
      <fill>
        <patternFill>
          <bgColor rgb="FF0070C0"/>
        </patternFill>
      </fill>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none">
          <fgColor rgb="FFD9D9D9"/>
          <bgColor rgb="FFD9D9D9"/>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numFmt numFmtId="22" formatCode="mmm\-yy"/>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thin">
          <color rgb="FF000000"/>
        </left>
        <right style="thin">
          <color rgb="FF000000"/>
        </right>
        <top style="medium">
          <color rgb="FF000000"/>
        </top>
      </border>
    </dxf>
    <dxf>
      <font>
        <b val="0"/>
        <i val="0"/>
        <strike val="0"/>
        <condense val="0"/>
        <extend val="0"/>
        <outline val="0"/>
        <shadow val="0"/>
        <u val="none"/>
        <vertAlign val="baseline"/>
        <sz val="11"/>
        <color rgb="FF000000"/>
        <name val="Calibri"/>
        <scheme val="none"/>
      </font>
      <fill>
        <patternFill patternType="solid">
          <fgColor rgb="FFD9D9D9"/>
          <bgColor rgb="FFD9D9D9"/>
        </patternFill>
      </fill>
      <alignment horizontal="general" vertical="bottom"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000000"/>
          <bgColor rgb="FF000000"/>
        </patternFill>
      </fill>
      <alignment horizontal="general" vertical="bottom" textRotation="0" wrapText="0" indent="0" justifyLastLine="0" shrinkToFit="0" readingOrder="0"/>
      <border diagonalUp="0" diagonalDown="0" outline="0">
        <left style="thin">
          <color rgb="FF000000"/>
        </left>
        <right style="thin">
          <color rgb="FF000000"/>
        </right>
        <top/>
        <bottom/>
      </border>
    </dxf>
    <dxf>
      <font>
        <strike val="0"/>
        <outline val="0"/>
        <shadow val="0"/>
        <vertAlign val="baseline"/>
        <sz val="10"/>
        <name val="Calibri"/>
        <family val="2"/>
        <scheme val="minor"/>
      </font>
      <numFmt numFmtId="0" formatCode="General"/>
      <alignment vertical="top"/>
      <protection locked="0" hidden="0"/>
    </dxf>
    <dxf>
      <font>
        <b/>
        <i val="0"/>
        <strike val="0"/>
        <condense val="0"/>
        <extend val="0"/>
        <outline val="0"/>
        <shadow val="0"/>
        <u val="none"/>
        <vertAlign val="baseline"/>
        <sz val="10"/>
        <color rgb="FF1923EB"/>
        <name val="Calibri"/>
        <family val="2"/>
        <scheme val="minor"/>
      </font>
      <alignment horizontal="left" vertical="top" textRotation="0" wrapText="1" indent="0" justifyLastLine="0" shrinkToFit="0" readingOrder="0"/>
      <border diagonalUp="0" diagonalDown="0">
        <left/>
        <right style="dotted">
          <color auto="1"/>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numFmt numFmtId="4" formatCode="#,##0.00"/>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rgb="FFFF0000"/>
        <name val="Calibri"/>
        <family val="2"/>
        <scheme val="minor"/>
      </font>
      <fill>
        <patternFill patternType="none"/>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fill>
        <patternFill patternType="none">
          <fgColor indexed="64"/>
          <bgColor rgb="FFFFFF00"/>
        </patternFill>
      </fill>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rgb="FFFF0000"/>
        <name val="Calibri"/>
        <family val="2"/>
        <scheme val="minor"/>
      </font>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0"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auto="1"/>
        <name val="Calibri"/>
        <family val="2"/>
        <scheme val="minor"/>
      </font>
      <numFmt numFmtId="19" formatCode="d/mm/yyyy"/>
      <alignment horizontal="center" vertical="center" textRotation="0" wrapText="0" indent="0" justifyLastLine="0" shrinkToFit="0" readingOrder="0"/>
      <border diagonalUp="0" diagonalDown="0">
        <left/>
        <right/>
        <top style="dotted">
          <color auto="1"/>
        </top>
        <bottom style="dotted">
          <color auto="1"/>
        </bottom>
        <vertical/>
        <horizontal/>
      </border>
      <protection locked="0" hidden="0"/>
    </dxf>
    <dxf>
      <font>
        <b val="0"/>
        <i val="0"/>
        <strike val="0"/>
        <condense val="0"/>
        <extend val="0"/>
        <outline val="0"/>
        <shadow val="0"/>
        <u val="none"/>
        <vertAlign val="baseline"/>
        <sz val="10"/>
        <color auto="1"/>
        <name val="Calibri"/>
        <family val="2"/>
        <scheme val="minor"/>
      </font>
      <numFmt numFmtId="19" formatCode="d/mm/yyyy"/>
      <fill>
        <patternFill patternType="none">
          <fgColor indexed="64"/>
          <bgColor rgb="FFFFFF00"/>
        </patternFill>
      </fill>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numFmt numFmtId="19" formatCode="d/mm/yyyy"/>
      <alignment horizontal="center" vertical="center" textRotation="0" wrapText="0"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9" formatCode="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fill>
        <patternFill patternType="solid">
          <fgColor indexed="64"/>
          <bgColor rgb="FFFFFF00"/>
        </patternFill>
      </fill>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fill>
        <patternFill patternType="none"/>
      </fill>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7" formatCode="m/d/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strike val="0"/>
        <outline val="0"/>
        <shadow val="0"/>
        <vertAlign val="baseline"/>
        <sz val="10"/>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1" hidden="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right/>
        <top style="dotted">
          <color auto="1"/>
        </top>
        <bottom style="dotted">
          <color auto="1"/>
        </bottom>
      </border>
      <protection locked="0" hidden="0"/>
    </dxf>
    <dxf>
      <font>
        <b val="0"/>
        <i val="0"/>
        <strike val="0"/>
        <condense val="0"/>
        <extend val="0"/>
        <outline val="0"/>
        <shadow val="0"/>
        <u val="none"/>
        <vertAlign val="baseline"/>
        <sz val="10"/>
        <color theme="1"/>
        <name val="Calibri"/>
        <family val="2"/>
        <scheme val="minor"/>
      </font>
      <fill>
        <patternFill patternType="none"/>
      </fill>
      <alignment horizontal="center" vertical="center" textRotation="0" wrapText="1" indent="0" justifyLastLine="0" shrinkToFit="0" readingOrder="0"/>
      <border diagonalUp="0" diagonalDown="0" outline="0">
        <left style="dotted">
          <color auto="1"/>
        </left>
        <right/>
        <top style="dotted">
          <color auto="1"/>
        </top>
        <bottom style="dotted">
          <color auto="1"/>
        </bottom>
      </border>
      <protection locked="1" hidden="0"/>
    </dxf>
    <dxf>
      <border outline="0">
        <top style="thin">
          <color indexed="64"/>
        </top>
      </border>
    </dxf>
    <dxf>
      <font>
        <strike val="0"/>
        <outline val="0"/>
        <shadow val="0"/>
        <vertAlign val="baseline"/>
        <sz val="10"/>
        <name val="Calibri"/>
        <family val="2"/>
        <scheme val="minor"/>
      </font>
      <alignment vertical="top"/>
      <protection locked="0" hidden="0"/>
    </dxf>
    <dxf>
      <font>
        <b/>
        <i val="0"/>
        <strike val="0"/>
        <condense val="0"/>
        <extend val="0"/>
        <outline val="0"/>
        <shadow val="0"/>
        <u val="none"/>
        <vertAlign val="baseline"/>
        <sz val="10"/>
        <color theme="0"/>
        <name val="Calibri"/>
        <family val="2"/>
        <scheme val="minor"/>
      </font>
      <alignment horizontal="center" vertical="center" textRotation="0" wrapText="1" indent="0" justifyLastLine="0" shrinkToFit="0" readingOrder="0"/>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trike val="0"/>
        <outline val="0"/>
        <shadow val="0"/>
        <u val="none"/>
        <vertAlign val="baseline"/>
        <sz val="10"/>
        <color rgb="FF1923EB"/>
        <name val="Calibri"/>
        <family val="2"/>
        <scheme val="minor"/>
      </font>
      <alignment horizontal="left" vertical="top"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3" formatCode="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6" formatCode="dd/mm/yyyy;@"/>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left style="dotted">
          <color auto="1"/>
        </left>
        <right style="dotted">
          <color auto="1"/>
        </right>
        <top style="dotted">
          <color auto="1"/>
        </top>
        <bottom style="dotted">
          <color auto="1"/>
        </bottom>
        <vertical/>
        <horizontal/>
      </border>
    </dxf>
    <dxf>
      <font>
        <b val="0"/>
        <i val="0"/>
        <strike val="0"/>
        <condense val="0"/>
        <extend val="0"/>
        <outline val="0"/>
        <shadow val="0"/>
        <u val="none"/>
        <vertAlign val="baseline"/>
        <sz val="10"/>
        <color theme="1"/>
        <name val="Calibri"/>
        <family val="2"/>
        <scheme val="minor"/>
      </font>
      <numFmt numFmtId="165" formatCode="&quot;S/&quot;\ #,##0.00"/>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dotted">
          <color auto="1"/>
        </left>
        <right style="dotted">
          <color auto="1"/>
        </right>
        <top style="dotted">
          <color auto="1"/>
        </top>
        <bottom style="dotted">
          <color auto="1"/>
        </bottom>
      </border>
    </dxf>
    <dxf>
      <font>
        <strike val="0"/>
        <outline val="0"/>
        <shadow val="0"/>
        <u val="none"/>
        <vertAlign val="baseline"/>
        <sz val="10"/>
        <color theme="1"/>
        <name val="Calibri"/>
        <family val="2"/>
        <scheme val="minor"/>
      </font>
      <alignment horizontal="center" vertical="center" textRotation="0" indent="0" justifyLastLine="0" shrinkToFit="0" readingOrder="0"/>
    </dxf>
    <dxf>
      <font>
        <b/>
        <strike val="0"/>
        <outline val="0"/>
        <shadow val="0"/>
        <u val="none"/>
        <vertAlign val="baseline"/>
        <sz val="10"/>
        <color theme="1"/>
        <name val="Calibri"/>
        <family val="2"/>
        <scheme val="minor"/>
      </font>
      <alignment horizontal="center" vertical="center" textRotation="0"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Estilo de tabla 2" pivot="0" count="1" xr9:uid="{00000000-0011-0000-FFFF-FFFF01000000}">
      <tableStyleElement type="wholeTable" dxfId="178"/>
    </tableStyle>
  </tableStyles>
  <colors>
    <mruColors>
      <color rgb="FF1923EB"/>
      <color rgb="FFFFE082"/>
      <color rgb="FFFFC000"/>
      <color rgb="FFDB7676"/>
      <color rgb="FF6EAEE6"/>
      <color rgb="FF8EAB65"/>
      <color rgb="FFE099DE"/>
      <color rgb="FF059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hyperlink" Target="https://hablasignada.divertic.org/buscar.php?ids=632"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840106</xdr:colOff>
      <xdr:row>17</xdr:row>
      <xdr:rowOff>14694</xdr:rowOff>
    </xdr:from>
    <xdr:to>
      <xdr:col>16</xdr:col>
      <xdr:colOff>20955</xdr:colOff>
      <xdr:row>19</xdr:row>
      <xdr:rowOff>168644</xdr:rowOff>
    </xdr:to>
    <xdr:pic>
      <xdr:nvPicPr>
        <xdr:cNvPr id="32" name="Imagen 31" descr="SET-25">
          <a:extLst>
            <a:ext uri="{FF2B5EF4-FFF2-40B4-BE49-F238E27FC236}">
              <a16:creationId xmlns:a16="http://schemas.microsoft.com/office/drawing/2014/main" id="{320723C4-2F8D-42D3-9416-0ACDA29F2C40}"/>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1181535" y="5539194"/>
          <a:ext cx="704849" cy="638092"/>
        </a:xfrm>
        <a:prstGeom prst="rect">
          <a:avLst/>
        </a:prstGeom>
        <a:solidFill>
          <a:srgbClr val="0070C0"/>
        </a:solidFill>
      </xdr:spPr>
    </xdr:pic>
    <xdr:clientData/>
  </xdr:twoCellAnchor>
  <xdr:oneCellAnchor>
    <xdr:from>
      <xdr:col>10</xdr:col>
      <xdr:colOff>521970</xdr:colOff>
      <xdr:row>24</xdr:row>
      <xdr:rowOff>20100</xdr:rowOff>
    </xdr:from>
    <xdr:ext cx="668675" cy="233205"/>
    <xdr:sp macro="" textlink="">
      <xdr:nvSpPr>
        <xdr:cNvPr id="33" name="CuadroTexto 32">
          <a:extLst>
            <a:ext uri="{FF2B5EF4-FFF2-40B4-BE49-F238E27FC236}">
              <a16:creationId xmlns:a16="http://schemas.microsoft.com/office/drawing/2014/main" id="{46B2F486-DFDF-424B-8C55-80D72E459FFE}"/>
            </a:ext>
          </a:extLst>
        </xdr:cNvPr>
        <xdr:cNvSpPr txBox="1"/>
      </xdr:nvSpPr>
      <xdr:spPr>
        <a:xfrm flipV="1">
          <a:off x="9818370" y="6830475"/>
          <a:ext cx="668675"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900"/>
        </a:p>
      </xdr:txBody>
    </xdr:sp>
    <xdr:clientData/>
  </xdr:oneCellAnchor>
  <xdr:twoCellAnchor editAs="oneCell">
    <xdr:from>
      <xdr:col>17</xdr:col>
      <xdr:colOff>1</xdr:colOff>
      <xdr:row>17</xdr:row>
      <xdr:rowOff>20409</xdr:rowOff>
    </xdr:from>
    <xdr:to>
      <xdr:col>18</xdr:col>
      <xdr:colOff>17145</xdr:colOff>
      <xdr:row>19</xdr:row>
      <xdr:rowOff>172454</xdr:rowOff>
    </xdr:to>
    <xdr:pic>
      <xdr:nvPicPr>
        <xdr:cNvPr id="34" name="Imagen 33">
          <a:extLst>
            <a:ext uri="{FF2B5EF4-FFF2-40B4-BE49-F238E27FC236}">
              <a16:creationId xmlns:a16="http://schemas.microsoft.com/office/drawing/2014/main" id="{791C4496-DB32-41DC-9169-C368E870FDE8}"/>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015108" y="5544909"/>
          <a:ext cx="683894" cy="626662"/>
        </a:xfrm>
        <a:prstGeom prst="rect">
          <a:avLst/>
        </a:prstGeom>
        <a:solidFill>
          <a:srgbClr val="0070C0"/>
        </a:solidFill>
      </xdr:spPr>
    </xdr:pic>
    <xdr:clientData/>
  </xdr:twoCellAnchor>
  <xdr:twoCellAnchor editAs="oneCell">
    <xdr:from>
      <xdr:col>18</xdr:col>
      <xdr:colOff>19051</xdr:colOff>
      <xdr:row>17</xdr:row>
      <xdr:rowOff>14694</xdr:rowOff>
    </xdr:from>
    <xdr:to>
      <xdr:col>19</xdr:col>
      <xdr:colOff>59055</xdr:colOff>
      <xdr:row>19</xdr:row>
      <xdr:rowOff>168644</xdr:rowOff>
    </xdr:to>
    <xdr:pic>
      <xdr:nvPicPr>
        <xdr:cNvPr id="35" name="Imagen 34">
          <a:extLst>
            <a:ext uri="{FF2B5EF4-FFF2-40B4-BE49-F238E27FC236}">
              <a16:creationId xmlns:a16="http://schemas.microsoft.com/office/drawing/2014/main" id="{E41697BA-ABC0-42CA-97CB-7B9FC0EEBA0A}"/>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700908" y="5539194"/>
          <a:ext cx="706754" cy="638092"/>
        </a:xfrm>
        <a:prstGeom prst="rect">
          <a:avLst/>
        </a:prstGeom>
        <a:solidFill>
          <a:srgbClr val="0070C0"/>
        </a:solidFill>
      </xdr:spPr>
    </xdr:pic>
    <xdr:clientData/>
  </xdr:twoCellAnchor>
  <xdr:twoCellAnchor editAs="oneCell">
    <xdr:from>
      <xdr:col>19</xdr:col>
      <xdr:colOff>5716</xdr:colOff>
      <xdr:row>16</xdr:row>
      <xdr:rowOff>337184</xdr:rowOff>
    </xdr:from>
    <xdr:to>
      <xdr:col>21</xdr:col>
      <xdr:colOff>53340</xdr:colOff>
      <xdr:row>19</xdr:row>
      <xdr:rowOff>131906</xdr:rowOff>
    </xdr:to>
    <xdr:pic>
      <xdr:nvPicPr>
        <xdr:cNvPr id="36" name="Imagen 35">
          <a:extLst>
            <a:ext uri="{FF2B5EF4-FFF2-40B4-BE49-F238E27FC236}">
              <a16:creationId xmlns:a16="http://schemas.microsoft.com/office/drawing/2014/main" id="{AE5B8C9B-2417-4991-968D-104A55D9358B}"/>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2931141" y="5566409"/>
          <a:ext cx="706754" cy="646256"/>
        </a:xfrm>
        <a:prstGeom prst="rect">
          <a:avLst/>
        </a:prstGeom>
        <a:solidFill>
          <a:srgbClr val="0070C0"/>
        </a:solidFill>
      </xdr:spPr>
    </xdr:pic>
    <xdr:clientData/>
  </xdr:twoCellAnchor>
  <xdr:twoCellAnchor editAs="oneCell">
    <xdr:from>
      <xdr:col>20</xdr:col>
      <xdr:colOff>0</xdr:colOff>
      <xdr:row>17</xdr:row>
      <xdr:rowOff>20409</xdr:rowOff>
    </xdr:from>
    <xdr:to>
      <xdr:col>23</xdr:col>
      <xdr:colOff>57150</xdr:colOff>
      <xdr:row>19</xdr:row>
      <xdr:rowOff>172454</xdr:rowOff>
    </xdr:to>
    <xdr:pic>
      <xdr:nvPicPr>
        <xdr:cNvPr id="37" name="Imagen 36">
          <a:extLst>
            <a:ext uri="{FF2B5EF4-FFF2-40B4-BE49-F238E27FC236}">
              <a16:creationId xmlns:a16="http://schemas.microsoft.com/office/drawing/2014/main" id="{A7A2E379-DB93-4596-883E-847EB0C35181}"/>
            </a:ext>
          </a:extLst>
        </xdr:cNvPr>
        <xdr:cNvPicPr>
          <a:picLocks noChangeAspect="1"/>
        </xdr:cNvPicPr>
      </xdr:nvPicPr>
      <xdr:blipFill rotWithShape="1">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20147" t="19413" r="12666" b="25184"/>
        <a:stretch/>
      </xdr:blipFill>
      <xdr:spPr>
        <a:xfrm flipV="1">
          <a:off x="14015357" y="5544909"/>
          <a:ext cx="723900" cy="626662"/>
        </a:xfrm>
        <a:prstGeom prst="rect">
          <a:avLst/>
        </a:prstGeom>
        <a:solidFill>
          <a:srgbClr val="0070C0"/>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sanchezr\Downloads\Portafolio_Demanda_TI_DE12.02.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ciones"/>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Lizzet" id="{BFFE39CF-5B56-4F0B-AF8D-D5B5E4F0E33A}">
    <nsvFilter filterId="{DC90121A-D366-46F0-9F31-91E57CF88A1B}" ref="A4:AV115" tableId="65">
      <columnFilter colId="3" id="{C3ED0286-9477-492C-AC37-E6B4EB0A11DD}">
        <filter colId="3">
          <x:filters>
            <x:filter val="2024-M0410"/>
          </x:filters>
        </filter>
      </columnFilter>
    </nsvFilter>
  </namedSheetView>
  <namedSheetView name="Ver1" id="{8C1B85A8-BE51-4E7F-867C-F5E22416D258}">
    <nsvFilter filterId="{DC90121A-D366-46F0-9F31-91E57CF88A1B}" ref="A4:AV115" tableId="65">
      <columnFilter colId="24" id="{25E1A21F-477F-4DA5-B33C-4845ECD6288C}">
        <filter colId="24">
          <x:filters>
            <x:filter val="Sentinel"/>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PRACTICANTE - GERSON DANIEL SAHUMA JURADO" id="{0AF2D842-BCF9-4449-AD8B-D6787A0FFBE4}" userId="S::pra_gsahuma@bn.com.pe::2749e2f8-9bfe-48df-b08c-daca1ffc157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4B8B9F-42BF-4D6D-8A97-1A56C3EC352B}" name="Tabla3" displayName="Tabla3" ref="A2:AE43" totalsRowShown="0" headerRowDxfId="177" dataDxfId="176">
  <autoFilter ref="A2:AE43" xr:uid="{1C58A15C-45C2-49C4-87F1-309AB99C265D}">
    <filterColumn colId="2">
      <filters>
        <filter val="Mejoramiento de los servicios financieros del BN a nivel Nacional (BID)"/>
      </filters>
    </filterColumn>
  </autoFilter>
  <tableColumns count="31">
    <tableColumn id="1" xr3:uid="{0E565DE3-6908-4BC5-8F80-0632853842AE}" name="N°" dataDxfId="175"/>
    <tableColumn id="2" xr3:uid="{3DEA592F-B6E0-4877-BFF3-D39ADE8F32DC}" name="Código de Planeamiento" dataDxfId="174"/>
    <tableColumn id="4" xr3:uid="{6AFB6792-CDA5-4107-BA17-83749D7BB6DF}" name="Nombre del Proyecto" dataDxfId="173"/>
    <tableColumn id="5" xr3:uid="{07E964CC-7B7A-4D31-B309-926C3296A3B3}" name="Alcance del Proyecto" dataDxfId="172"/>
    <tableColumn id="16391" xr3:uid="{B794F76C-2DEA-4C0C-99A6-8BC250F19C92}" name="Gerencia Líder" dataDxfId="171"/>
    <tableColumn id="16390" xr3:uid="{8E1C0B95-71BF-4F01-B64A-73C6ED1A89FC}" name="Líder del Proyecto" dataDxfId="170"/>
    <tableColumn id="16389" xr3:uid="{1B027113-D393-4321-860A-CD4BBD1B3E09}" name="Usuario Funcional" dataDxfId="169"/>
    <tableColumn id="16408" xr3:uid="{6D78DDB7-BCCE-4EF2-905C-99716F2DD363}" name="Gestor de Planeamiento" dataDxfId="168"/>
    <tableColumn id="16401" xr3:uid="{411E5BAC-2B4B-4C51-8E8C-72131FCE9A29}" name="Presupuesto asignado" dataDxfId="167"/>
    <tableColumn id="7" xr3:uid="{D5011551-0938-41D3-8B25-74FA4DC8ACB0}" name="Valor Ganado (EV)" dataDxfId="166">
      <calculatedColumnFormula>Tabla3[[#This Row],[Presupuesto asignado]]/2</calculatedColumnFormula>
    </tableColumn>
    <tableColumn id="6" xr3:uid="{A932D284-5D6A-4E57-801C-264A87BBE533}" name="Costo Actual (AC)" dataDxfId="165">
      <calculatedColumnFormula>Tabla3[[#This Row],[Valor Ganado (EV)]]</calculatedColumnFormula>
    </tableColumn>
    <tableColumn id="3" xr3:uid="{0BA65A0C-F435-4DF7-B90A-2A814A0A4FA7}" name="CPI" dataDxfId="164">
      <calculatedColumnFormula>Tabla3[[#This Row],[Valor Ganado (EV)]]/Tabla3[[#This Row],[Costo Actual (AC)]]</calculatedColumnFormula>
    </tableColumn>
    <tableColumn id="16399" xr3:uid="{F75F556C-D522-421D-8104-1D5DF0D6157E}" name="Fecha Comité Ejec. Proy." dataDxfId="163"/>
    <tableColumn id="16400" xr3:uid="{AF31EF5E-4DB7-4728-8CBD-16A203C77BC9}" name="N° Acta Comité_x000a_(aprobación)" dataDxfId="162"/>
    <tableColumn id="16404" xr3:uid="{39E099E3-AF66-48E3-88AD-D82FA57CA558}" name="Dimensión" dataDxfId="161"/>
    <tableColumn id="16405" xr3:uid="{D3686392-701C-464C-8DC9-D0F2D18656C8}" name="Objetivo" dataDxfId="160"/>
    <tableColumn id="16403" xr3:uid="{AEB38947-902C-4499-B99B-5683FFB25773}" name="Año Inicio Planificado" dataDxfId="159"/>
    <tableColumn id="16402" xr3:uid="{E9C6B9BF-30B6-48E9-A485-F08ADE873B32}" name="Año Fin Planificado" dataDxfId="158"/>
    <tableColumn id="16406" xr3:uid="{9F3F45B4-C44F-481A-894F-D0CCFBF67233}" name="N° Solicitudes de cambio" dataDxfId="157"/>
    <tableColumn id="16409" xr3:uid="{812F011C-EA2C-478F-B5A9-5B95AE5BD2F5}" name="Componente Tecnológico" dataDxfId="156"/>
    <tableColumn id="16407" xr3:uid="{0A5C1757-AF36-4B74-9B25-FD59E8E29147}" name="Transformación Digital" dataDxfId="155"/>
    <tableColumn id="16394" xr3:uid="{193FFC4C-8043-4E37-9F49-2A40DA653EAB}" name="Cartera" dataDxfId="154"/>
    <tableColumn id="18" xr3:uid="{D7DF92E6-C1AF-4445-9278-38101C86FAC0}" name="Anexo 1 _x000a_(Modelo de Negocio)" dataDxfId="153"/>
    <tableColumn id="20" xr3:uid="{E56AB399-35EB-421C-A56E-D3C43CBFCD5D}" name="Líder Técnico" dataDxfId="152"/>
    <tableColumn id="21" xr3:uid="{3999989C-10BB-4E30-A7AF-48B65E5FDB0D}" name="Fecha Inicio" dataDxfId="151"/>
    <tableColumn id="22" xr3:uid="{2CE67B05-81D5-48CC-ACDA-9336B6C2F370}" name="Fecha Fin" dataDxfId="150"/>
    <tableColumn id="23" xr3:uid="{31395049-28B6-4D6B-9FB1-2C080FFAAEFD}" name="% Avance Planificado" dataDxfId="149"/>
    <tableColumn id="24" xr3:uid="{3A82C8CC-5D78-4171-91E3-3B98CC0D0BAF}" name="% Avance ejecutado" dataDxfId="148"/>
    <tableColumn id="25" xr3:uid="{B7F61597-DFA5-4DE9-B255-2EC8021A19CE}" name="Desv. %" dataDxfId="147">
      <calculatedColumnFormula>Tabla3[[#This Row],[% Avance ejecutado]]-Tabla3[[#This Row],[% Avance Planificado]]/Tabla3[[#This Row],[% Avance Planificado]]</calculatedColumnFormula>
    </tableColumn>
    <tableColumn id="26" xr3:uid="{C5FA3BFC-1511-4366-BA2D-3AC29B4D0388}" name="Estado" dataDxfId="146"/>
    <tableColumn id="27" xr3:uid="{33B5AD0B-66ED-4745-8ED9-8091B4C33587}" name="SEGUIMIENTO  _x000a_(Planeamiento y Control de Gestión)" dataDxfId="14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4700E48C-8B0D-4F1D-A323-04A84A6007F9}" name="DemandaEstrateg_" displayName="DemandaEstrateg_" ref="A4:AV115" totalsRowShown="0" headerRowDxfId="141" dataDxfId="140" tableBorderDxfId="139">
  <autoFilter ref="A4:AV115" xr:uid="{DC90121A-D366-46F0-9F31-91E57CF88A1B}"/>
  <tableColumns count="48">
    <tableColumn id="23" xr3:uid="{F92A3F25-0220-4B8A-801F-A6A450AAB106}" name="ID" dataDxfId="138"/>
    <tableColumn id="38" xr3:uid="{97056E91-86C2-44ED-A0AD-79C0AFA0BC0E}" name="ID Trámite" dataDxfId="137"/>
    <tableColumn id="3" xr3:uid="{88227E14-97AF-4214-B59F-B0D5DCE16C36}" name="ID Dependencia" dataDxfId="136"/>
    <tableColumn id="24" xr3:uid="{C3ED0286-9477-492C-AC37-E6B4EB0A11DD}" name="ID Proyecto / Mantenimiento asociado" dataDxfId="135"/>
    <tableColumn id="26" xr3:uid="{5BEF145C-4508-41EB-BCAA-701D5E56BCBF}" name="Tipo de Requerimiento" dataDxfId="134"/>
    <tableColumn id="4" xr3:uid="{C7A8D460-593A-44F9-91B4-8D1C219722A3}" name="Nombre del Proyecto" dataDxfId="133"/>
    <tableColumn id="5" xr3:uid="{3C6FA838-7204-4B6B-9F0E-D2E9FEFE1056}" name="Alcance del Proyecto" dataDxfId="132"/>
    <tableColumn id="9" xr3:uid="{E3F7083A-C4CF-43E3-996C-56012FE9E738}" name="Gerencia Líder" dataDxfId="131"/>
    <tableColumn id="12" xr3:uid="{9C1870D9-FB69-4B1A-ABF6-8B4858DFD12A}" name="Líder del Proyecto" dataDxfId="130"/>
    <tableColumn id="10" xr3:uid="{9737B93B-6F1E-4B39-9034-43CAE1A69111}" name="Usuario Funcional" dataDxfId="129"/>
    <tableColumn id="45" xr3:uid="{58ED93DF-2A67-4983-83E5-C0FEE92B7E5D}" name="Gestor  de Planeamiento" dataDxfId="128"/>
    <tableColumn id="18" xr3:uid="{A1687C28-9F93-491E-A363-045731847723}" name="Fecha de Solicitud a TI" dataDxfId="127"/>
    <tableColumn id="25" xr3:uid="{4614BB9B-2E09-47B9-961C-AFD215024D4F}" name="Memorando STD" dataDxfId="126"/>
    <tableColumn id="20" xr3:uid="{A92EC476-1751-4126-BDEA-7383B3A62949}" name="Canal de Atención" dataDxfId="125"/>
    <tableColumn id="2" xr3:uid="{9CFBC3F6-CA68-4DA7-A931-5A24B07E7383}" name="Producto" dataDxfId="124"/>
    <tableColumn id="1" xr3:uid="{4BAA14B7-E4A7-4154-B509-688964F744E8}" name="Servicio" dataDxfId="123"/>
    <tableColumn id="69" xr3:uid="{149F6FE2-3F6C-40C9-A1F1-750F8AFE1D78}" name="Categoría" dataDxfId="122"/>
    <tableColumn id="71" xr3:uid="{6606111B-5098-4092-B3B7-25E721BA664F}" name="Entidad reguladora / Organo de Control" dataDxfId="121"/>
    <tableColumn id="72" xr3:uid="{B9739CED-AC0D-426F-B41C-F0A07092FCEB}" name="N° Norma / N° Informe" dataDxfId="120"/>
    <tableColumn id="17" xr3:uid="{32D92759-010A-4A5B-BA4D-4D9EABF6A81D}" name="N° recomendación" dataDxfId="119"/>
    <tableColumn id="44" xr3:uid="{01AF8D0B-1A52-447A-BE46-4178ABB63B34}" name="Año Inicio Planificado" dataDxfId="118">
      <calculatedColumnFormula>'Portafolio P&amp;D'!Q11</calculatedColumnFormula>
    </tableColumn>
    <tableColumn id="43" xr3:uid="{04FEF21C-BEFB-4CFC-8F6C-31E78FD75397}" name="Año Fin Planificado" dataDxfId="117">
      <calculatedColumnFormula>'Portafolio P&amp;D'!R11</calculatedColumnFormula>
    </tableColumn>
    <tableColumn id="37" xr3:uid="{F77605C7-2C9D-4C37-AAC7-9C5B3AAF18EA}" name="Fecha de Aprobación en Comité" dataDxfId="116"/>
    <tableColumn id="56" xr3:uid="{54F8F545-54BF-4CF1-A7F2-FAFCC495A193}" name="Presupuesto asignado" dataDxfId="115"/>
    <tableColumn id="39" xr3:uid="{25E1A21F-477F-4DA5-B33C-4845ECD6288C}" name="Cartera" dataDxfId="114"/>
    <tableColumn id="32" xr3:uid="{7722F32E-BD05-45B1-BB23-7F3D2ED64424}" name="Gestor TI" dataDxfId="113"/>
    <tableColumn id="29" xr3:uid="{651785A4-EB58-46FF-90F8-8C11535BE2E1}" name="Aplicativo" dataDxfId="112"/>
    <tableColumn id="13" xr3:uid="{84E222AA-9F26-423D-A5F5-4DD9FFBE5CAA}" name="Área Responsable TI" dataDxfId="111"/>
    <tableColumn id="42" xr3:uid="{2259C0F1-44F3-4A95-ADE0-F189AB0DD7E0}" name="Entidad / Proveedor Asignado" dataDxfId="110"/>
    <tableColumn id="14" xr3:uid="{20582993-7A2B-410B-8B06-994E9C98A0E2}" name="Líder Técnico" dataDxfId="109"/>
    <tableColumn id="15" xr3:uid="{F719F46C-7D92-4021-857E-700C966EC302}" name="Analista asignado" dataDxfId="108"/>
    <tableColumn id="30" xr3:uid="{4747369A-649D-4A0C-9F9E-3D831935BD01}" name="Motivo según estado" dataDxfId="107"/>
    <tableColumn id="41" xr3:uid="{DAC9FD68-FB7D-4729-811C-8519C0199005}" name="Fecha registro trámite" dataDxfId="106"/>
    <tableColumn id="31" xr3:uid="{ACE16246-273F-48FE-8413-DD71C0B6F573}" name="Fecha Inicio- Plan" dataDxfId="105"/>
    <tableColumn id="27" xr3:uid="{518A6653-0214-4F83-A357-66DDA0F9954C}" name="Fecha Fin- Plan" dataDxfId="104"/>
    <tableColumn id="34" xr3:uid="{AD6D5690-A91F-4E6A-A4BE-295E20BBE1D8}" name="Fecha Fin Ral _x000a_(CQ)" dataDxfId="103"/>
    <tableColumn id="22" xr3:uid="{984847A7-9A38-45D6-B458-13438FE71201}" name="% Avance Planificado" dataDxfId="102"/>
    <tableColumn id="6" xr3:uid="{C42C49EE-8273-443D-A86E-68A51E7CFEA9}" name="% Avance ejecutado" dataDxfId="101"/>
    <tableColumn id="36" xr3:uid="{076A74E3-AAA5-47C5-AE80-4AF8D47F5EED}" name="Desv. %" dataDxfId="100">
      <calculatedColumnFormula>IF(DemandaEstrateg_[[#This Row],[Tipo de Requerimiento]]="Proyecto",(DemandaEstrateg_[[#This Row],[% Avance ejecutado]]-DemandaEstrateg_[[#This Row],[% Avance Planificado]])/DemandaEstrateg_[[#This Row],[% Avance Planificado]],"No aplica")</calculatedColumnFormula>
    </tableColumn>
    <tableColumn id="19" xr3:uid="{6D23256E-2EA3-407C-A17A-8A4CB0DBAF4E}" name="Días faltantes" dataDxfId="99">
      <calculatedColumnFormula>IF(DemandaEstrateg_[[#This Row],[Tipo de Requerimiento]]="Proyecto",(DemandaEstrateg_[[#This Row],[% Avance ejecutado]]-DemandaEstrateg_[[#This Row],[% Avance Planificado]])/DemandaEstrateg_[[#This Row],[% Avance Planificado]],"No aplica")</calculatedColumnFormula>
    </tableColumn>
    <tableColumn id="7" xr3:uid="{0FC40565-8B10-47B9-8363-CE9C11652DCA}" name="ALERTA" dataDxfId="98"/>
    <tableColumn id="21" xr3:uid="{71B6558D-C32F-4840-95A4-6062ACCB884C}" name="Fecha Fin TI Propuesta" dataDxfId="97"/>
    <tableColumn id="11" xr3:uid="{74FCABA6-8F06-4324-8589-25BFD9A32CDB}" name="Fecha Fin TI (Trimestre)" dataDxfId="96"/>
    <tableColumn id="8" xr3:uid="{74623126-2A3D-4933-A081-7BE380A66DAC}" name="Últ. Estado CQ 14.05" dataDxfId="95"/>
    <tableColumn id="51" xr3:uid="{6B019115-1842-44A5-9AC5-1C70ACE14F37}" name="Estado TI" dataDxfId="94">
      <calculatedColumnFormula>VLOOKUP(DemandaEstrateg_[[#This Row],[Últ. Estado CQ 14.05]],Tabla36[[Estado CQ]:[Estado TI]],3,FALSE)</calculatedColumnFormula>
    </tableColumn>
    <tableColumn id="49" xr3:uid="{45815390-5A20-406C-86AC-2D266FFBA56C}" name="Estado Proyecto TI" dataDxfId="93">
      <calculatedColumnFormula>VLOOKUP(DemandaEstrateg_[[#This Row],[Estado TI]],Tabla12[],3,FALSE)</calculatedColumnFormula>
    </tableColumn>
    <tableColumn id="48" xr3:uid="{7F7718F1-7A99-4909-AF3D-53E6E7F96490}" name="Seguimiento OPP" dataDxfId="92"/>
    <tableColumn id="16" xr3:uid="{B49CA864-5809-4F0F-BE12-AFA73DA35684}" name="Código de Planeamiento" dataDxfId="91">
      <calculatedColumnFormula>'Portafolio P&amp;D'!B11</calculatedColumnFormula>
    </tableColumn>
  </tableColumns>
  <tableStyleInfo name="Estilo de tabla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9B3093-0FAB-4BF6-A999-78B9F8089DC9}" name="Tabla15" displayName="Tabla15" ref="A1:L82" totalsRowShown="0" headerRowDxfId="90" dataDxfId="89" headerRowBorderDxfId="87" tableBorderDxfId="88">
  <autoFilter ref="A1:L82" xr:uid="{AC9B3093-0FAB-4BF6-A999-78B9F8089DC9}"/>
  <tableColumns count="12">
    <tableColumn id="1" xr3:uid="{70F38CB6-B06F-44B1-A349-D41D34E01C01}" name="PROYECTO" dataDxfId="86"/>
    <tableColumn id="2" xr3:uid="{6C99ECA8-478B-498A-8540-A5AFF6E18D89}" name="N°" dataDxfId="85"/>
    <tableColumn id="3" xr3:uid="{3F6E4BCE-613B-4BB7-9F93-BD3E74B32F9D}" name="CÓDIGO DE PLANEAMIENTO" dataDxfId="84"/>
    <tableColumn id="4" xr3:uid="{D8FABAE6-9D61-40CB-919A-560FAECA0D41}" name="LIDER DEL PROYECTO" dataDxfId="83"/>
    <tableColumn id="5" xr3:uid="{E2095DD3-6E85-4BE9-997A-53825DAC5B25}" name="LÍDER TÉCNICO" dataDxfId="82"/>
    <tableColumn id="6" xr3:uid="{0A63319D-7083-40C7-9CAE-BBA719963379}" name="FECHA COMPROMISO" dataDxfId="81"/>
    <tableColumn id="7" xr3:uid="{A24FEE80-F230-496B-9FB0-8EFC85F776F5}" name="Pendientes" dataDxfId="80"/>
    <tableColumn id="8" xr3:uid="{2CF02835-651E-4631-9A90-4D5530EB70EF}" name="Responsable" dataDxfId="79"/>
    <tableColumn id="9" xr3:uid="{BF004A89-4CAD-4A2D-A768-B5E791694BFD}" name="Fecha Compromiso2" dataDxfId="78"/>
    <tableColumn id="10" xr3:uid="{86F54994-F403-404D-A545-DD6DF120FE78}" name="Apoyo BN" dataDxfId="77"/>
    <tableColumn id="11" xr3:uid="{77F71F19-52B9-4AAF-A6A0-9F9FCD246EBE}" name="Proveedores" dataDxfId="76"/>
    <tableColumn id="12" xr3:uid="{439045DC-340F-4CCE-99A5-E2F080FFFA02}" name="Estado" dataDxfId="75"/>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A79C4C-D2EB-4FF9-A827-472909BB5A1E}" name="Tabla36" displayName="Tabla36" ref="A17:D34" totalsRowShown="0" headerRowDxfId="70" headerRowBorderDxfId="68" tableBorderDxfId="69" totalsRowBorderDxfId="67">
  <autoFilter ref="A17:D34" xr:uid="{00000000-0009-0000-0100-000005000000}"/>
  <tableColumns count="4">
    <tableColumn id="1" xr3:uid="{E6806027-8C4D-40F4-8429-345E236976A1}" name="Estado CQ" dataDxfId="66"/>
    <tableColumn id="2" xr3:uid="{FB014F90-C4BB-4563-9ACD-B4D86C744268}" name="Definición" dataDxfId="65"/>
    <tableColumn id="3" xr3:uid="{5CC2F0B2-349F-4BBB-B5FE-3CD5E6ABBEC6}" name="Estado TI" dataDxfId="64"/>
    <tableColumn id="4" xr3:uid="{52520710-23C0-4A56-8E25-1F48336BEA4D}" name="Actualizar Demanda?" dataDxfId="6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3C9E288-601C-4E16-A328-618DF77770F9}" name="Tabla4" displayName="Tabla4" ref="A50:B61" totalsRowShown="0" headerRowDxfId="62" headerRowBorderDxfId="60" tableBorderDxfId="61" totalsRowBorderDxfId="59">
  <autoFilter ref="A50:B61" xr:uid="{00000000-0009-0000-0100-000006000000}"/>
  <tableColumns count="2">
    <tableColumn id="1" xr3:uid="{BE45AFD8-DDD3-41ED-A2ED-476B29E56105}" name="Motivo de paralización"/>
    <tableColumn id="2" xr3:uid="{98894CE0-0D49-47C1-A11D-D144525F133C}" name="Estado TI"/>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B314ED-D371-4858-BDE8-E74FE2988D34}" name="tbGerencia" displayName="tbGerencia" ref="A94:B112" totalsRowShown="0" headerRowDxfId="58" headerRowBorderDxfId="57">
  <autoFilter ref="A94:B112" xr:uid="{00000000-0009-0000-0100-000008000000}"/>
  <tableColumns count="2">
    <tableColumn id="1" xr3:uid="{A5D31592-2E55-4DA4-889A-E9A4AB74105F}" name="Gerencia" dataDxfId="56"/>
    <tableColumn id="2" xr3:uid="{DAC35E28-0DF8-4464-AB0B-8430F867DAF4}" name="Nombre cort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60DD44F-547E-4588-A4C7-F16743D128A5}" name="tblCanal" displayName="tblCanal" ref="A185:A202" totalsRowShown="0" headerRowDxfId="55">
  <autoFilter ref="A185:A202" xr:uid="{00000000-0009-0000-0100-000009000000}"/>
  <tableColumns count="1">
    <tableColumn id="1" xr3:uid="{5BAC843D-7612-4D4A-8C06-82EA20D410D4}" name="Canal de atenció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6D73B789-7BFD-4E03-9A7D-12CFBDEA3513}" name="SubgList" displayName="SubgList" ref="A114:B168" totalsRowShown="0" headerRowDxfId="54" headerRowBorderDxfId="52" tableBorderDxfId="53" totalsRowBorderDxfId="51">
  <autoFilter ref="A114:B168" xr:uid="{00000000-0009-0000-0100-000043000000}"/>
  <sortState xmlns:xlrd2="http://schemas.microsoft.com/office/spreadsheetml/2017/richdata2" ref="A115:B168">
    <sortCondition ref="A114:A168"/>
  </sortState>
  <tableColumns count="2">
    <tableColumn id="1" xr3:uid="{9507C443-C099-4ED7-AF92-9DD6C7B3F9D9}" name="Subgerencia" dataDxfId="50"/>
    <tableColumn id="2" xr3:uid="{409D5656-82CC-483F-B2A6-7DC0B6D4247E}" name="Nombre corto" dataDxfId="4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BF8ACB6-D958-47A1-A7EB-7417C02B1B33}" name="Tabla76" displayName="Tabla76" ref="A239:B354" totalsRowShown="0" headerRowDxfId="48">
  <autoFilter ref="A239:B354" xr:uid="{00000000-0009-0000-0100-000049000000}"/>
  <tableColumns count="2">
    <tableColumn id="1" xr3:uid="{BCF5D590-D9F0-4AE7-AA54-6854C7C58FB9}" name="Aplicativos"/>
    <tableColumn id="2" xr3:uid="{9C2C144D-216F-4E4B-9D54-43DC81E1D04F}" name="Nombre Cort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3D530A-6885-4118-A204-C713C2590AEA}" name="Tabla1" displayName="Tabla1" ref="A204:A222" totalsRowShown="0" headerRowDxfId="47" dataDxfId="46" headerRowBorderDxfId="44" tableBorderDxfId="45" totalsRowBorderDxfId="43">
  <autoFilter ref="A204:A222" xr:uid="{1A3D530A-6885-4118-A204-C713C2590AEA}"/>
  <tableColumns count="1">
    <tableColumn id="1" xr3:uid="{61202CD6-A611-443A-BA06-D57E7EAB4634}" name="Productos" dataDxfId="42"/>
  </tableColumns>
  <tableStyleInfo name="TableStyleMedium2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680E6-E033-486B-8E8B-CFC7976D1CB5}" name="Tabla2" displayName="Tabla2" ref="A224:A237" totalsRowShown="0" headerRowDxfId="41" dataDxfId="40" headerRowBorderDxfId="38" tableBorderDxfId="39" totalsRowBorderDxfId="37">
  <autoFilter ref="A224:A237" xr:uid="{FEC680E6-E033-486B-8E8B-CFC7976D1CB5}"/>
  <tableColumns count="1">
    <tableColumn id="1" xr3:uid="{7DD79B33-95BF-4E4B-9189-B3C47A24EA98}" name="Servicio" dataDxfId="36"/>
  </tableColumns>
  <tableStyleInfo name="TableStyleMedium2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DB2807-9317-43D1-A7E8-08872EB47725}" name="Tabla5" displayName="Tabla5" ref="A85:A92" totalsRowShown="0" headerRowDxfId="35" dataDxfId="34" tableBorderDxfId="33">
  <autoFilter ref="A85:A92" xr:uid="{1FDB2807-9317-43D1-A7E8-08872EB47725}"/>
  <sortState xmlns:xlrd2="http://schemas.microsoft.com/office/spreadsheetml/2017/richdata2" ref="A86:A92">
    <sortCondition ref="A85:A92"/>
  </sortState>
  <tableColumns count="1">
    <tableColumn id="1" xr3:uid="{EAE972DC-947A-41B5-91EA-06D2ECDD3B15}" name="Gestores de Proyectos" dataDxfId="32"/>
  </tableColumns>
  <tableStyleInfo name="TableStyleMedium2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73B98E-5BB3-4E6C-B58A-DEF57070416F}" name="Tabla7" displayName="Tabla7" ref="A71:A83" totalsRowShown="0" headerRowDxfId="31" dataDxfId="30" headerRowBorderDxfId="28" tableBorderDxfId="29" totalsRowBorderDxfId="27">
  <autoFilter ref="A71:A83" xr:uid="{8E73B98E-5BB3-4E6C-B58A-DEF57070416F}"/>
  <sortState xmlns:xlrd2="http://schemas.microsoft.com/office/spreadsheetml/2017/richdata2" ref="A72:A83">
    <sortCondition ref="A71:A83"/>
  </sortState>
  <tableColumns count="1">
    <tableColumn id="1" xr3:uid="{E0D3F4D4-6318-40BC-ADD2-A61CDE3CED71}" name="Entidad reguladora / Organo de Control" dataDxfId="26"/>
  </tableColumns>
  <tableStyleInfo name="TableStyleMedium2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4DA248F-72C9-4068-BE37-29C3B497D64C}" name="Tabla10" displayName="Tabla10" ref="A63:B69" totalsRowShown="0" headerRowDxfId="25" headerRowBorderDxfId="23" tableBorderDxfId="24" totalsRowBorderDxfId="22">
  <autoFilter ref="A63:B69" xr:uid="{D4DA248F-72C9-4068-BE37-29C3B497D64C}"/>
  <tableColumns count="2">
    <tableColumn id="1" xr3:uid="{48E14BAB-2D1F-4314-83D0-F7322ABA950A}" name="Categoría" dataDxfId="21"/>
    <tableColumn id="2" xr3:uid="{49DBD28C-92DC-401F-9994-C05915CE7B0C}" name="Definiciones" dataDxfId="20"/>
  </tableColumns>
  <tableStyleInfo name="TableStyleMedium2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9E9A10-4BA3-43CE-AACA-78786C0FEA43}" name="Tabla12" displayName="Tabla12" ref="A3:C14" totalsRowShown="0" headerRowDxfId="19" headerRowBorderDxfId="17" tableBorderDxfId="18">
  <autoFilter ref="A3:C14" xr:uid="{2D9E9A10-4BA3-43CE-AACA-78786C0FEA43}"/>
  <tableColumns count="3">
    <tableColumn id="1" xr3:uid="{18FFF092-B401-4BF6-AC68-EB962F283B76}" name="Estado TI"/>
    <tableColumn id="2" xr3:uid="{A2D8A153-2352-4C00-B97C-1648D0A42E60}" name="Definición" dataDxfId="16"/>
    <tableColumn id="3" xr3:uid="{EEBEB2C4-4591-4B3E-A4FA-47F9EBC1B10A}" name="Estado Proyecto TI"/>
  </tableColumns>
  <tableStyleInfo name="TableStyleMedium2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AAE94F4-9020-45BB-9D09-36D87BA07956}" name="Tabla13" displayName="Tabla13" ref="A37:C48" totalsRowShown="0" headerRowDxfId="15" headerRowBorderDxfId="13" tableBorderDxfId="14" totalsRowBorderDxfId="12">
  <autoFilter ref="A37:C48" xr:uid="{1AAE94F4-9020-45BB-9D09-36D87BA07956}"/>
  <tableColumns count="3">
    <tableColumn id="1" xr3:uid="{C848B09D-0C8C-448F-BE39-C7463CCCC130}" name="Estado Planeamiento"/>
    <tableColumn id="2" xr3:uid="{538CD358-25BB-43BD-8CFD-A166FC07AC24}" name="Estado TI"/>
    <tableColumn id="3" xr3:uid="{B043A409-A7C4-4949-B8E2-6048D199378C}" name="Estado Proyecto TI"/>
  </tableColumns>
  <tableStyleInfo name="TableStyleMedium2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553422-EA7B-4CD0-A14E-32028CAC4A88}" name="Tabla11" displayName="Tabla11" ref="A356:A359" totalsRowShown="0">
  <autoFilter ref="A356:A359" xr:uid="{B4553422-EA7B-4CD0-A14E-32028CAC4A88}"/>
  <tableColumns count="1">
    <tableColumn id="1" xr3:uid="{4A771A79-6989-4A40-8BD3-5BDC711526F5}" name="Alerta"/>
  </tableColumns>
  <tableStyleInfo name="TableStyleMedium2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36579C2-D191-4BA7-9DFE-C3C7F7269778}" name="Tabla14" displayName="Tabla14" ref="A170:B183" totalsRowShown="0">
  <autoFilter ref="A170:B183" xr:uid="{736579C2-D191-4BA7-9DFE-C3C7F7269778}"/>
  <tableColumns count="2">
    <tableColumn id="1" xr3:uid="{A65B8370-F049-4802-808F-F98AD8618D00}" name="Areas de TI" dataDxfId="11"/>
    <tableColumn id="2" xr3:uid="{93A41231-2C58-40D8-98AA-74861D4EB120}" name="Nombre corto"/>
  </tableColumns>
  <tableStyleInfo name="TableStyleMedium1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C77E6DC-52E9-486F-ADC0-B9A12AE0687C}" name="Tabla365" displayName="Tabla365" ref="A4:I11" totalsRowShown="0" headerRowDxfId="10" dataDxfId="9">
  <autoFilter ref="A4:I11" xr:uid="{72FBC4B8-A950-4C00-97EB-D765E89327F9}"/>
  <tableColumns count="9">
    <tableColumn id="1" xr3:uid="{2C653B5A-B15D-433A-AAE8-D518A0A17078}" name="N°" dataDxfId="8"/>
    <tableColumn id="4" xr3:uid="{07C63DFD-27F7-4D8C-9CF9-2A4BC8512F9F}" name="Nombre del Proyecto" dataDxfId="7"/>
    <tableColumn id="16391" xr3:uid="{D1C92284-0044-4380-A824-826A36EDC8F6}" name="Gerencia Líder" dataDxfId="6"/>
    <tableColumn id="16390" xr3:uid="{C368973D-E2CE-472E-A88F-5E72B97FD611}" name="Líder del Proyecto" dataDxfId="5"/>
    <tableColumn id="16394" xr3:uid="{E5B058CE-BF69-411A-AFC7-335426E7D39F}" name="Cartera" dataDxfId="4"/>
    <tableColumn id="20" xr3:uid="{C3FA369C-5C3E-4035-BC00-E926C49C2BD1}" name="Líder Técnico" dataDxfId="3"/>
    <tableColumn id="26" xr3:uid="{C16BFF2A-1AC2-4D26-9F11-7AC60135EF87}" name="Estado de TI" dataDxfId="2"/>
    <tableColumn id="2" xr3:uid="{65E6EC91-40B2-4496-AE7F-A089E92071F7}" name="Columna1" dataDxfId="1"/>
    <tableColumn id="3" xr3:uid="{033C003D-00B7-4D01-A0C5-8ADE0B590AF6}" name="Acta"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 dT="2025-08-07T14:13:57.05" personId="{0AF2D842-BCF9-4449-AD8B-D6787A0FFBE4}" id="{FF279E41-0078-4CA6-A3A5-D009AF8D9D11}">
    <text>1</text>
  </threadedComment>
  <threadedComment ref="C14" dT="2025-08-07T14:13:35.61" personId="{0AF2D842-BCF9-4449-AD8B-D6787A0FFBE4}" id="{A2C47207-7E4D-4B9F-9BAF-105F9A2A2CB1}">
    <text>2</text>
  </threadedComment>
  <threadedComment ref="C16" dT="2025-08-07T14:13:11.86" personId="{0AF2D842-BCF9-4449-AD8B-D6787A0FFBE4}" id="{52A6BE5B-52BC-462C-8B6D-27A16526DE3C}">
    <text>3</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2" Type="http://schemas.openxmlformats.org/officeDocument/2006/relationships/table" Target="../tables/table4.xml"/><Relationship Id="rId16" Type="http://schemas.openxmlformats.org/officeDocument/2006/relationships/table" Target="../tables/table18.xml"/><Relationship Id="rId1" Type="http://schemas.openxmlformats.org/officeDocument/2006/relationships/printerSettings" Target="../printerSettings/printerSettings4.bin"/><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8FC5-82DF-42B8-BC58-A66918814DB0}">
  <sheetPr>
    <tabColor theme="8"/>
  </sheetPr>
  <dimension ref="A1:AE43"/>
  <sheetViews>
    <sheetView tabSelected="1" zoomScale="70" zoomScaleNormal="70" workbookViewId="0">
      <pane xSplit="4" topLeftCell="Y1" activePane="topRight" state="frozen"/>
      <selection pane="topRight" activeCell="AA44" sqref="AA44"/>
      <selection activeCell="A3" sqref="A3"/>
    </sheetView>
  </sheetViews>
  <sheetFormatPr defaultColWidth="11.5703125" defaultRowHeight="49.9" customHeight="1"/>
  <cols>
    <col min="1" max="1" width="11.5703125" style="57" customWidth="1"/>
    <col min="2" max="2" width="11.5703125" style="64" customWidth="1"/>
    <col min="3" max="3" width="34.85546875" style="65" customWidth="1"/>
    <col min="4" max="4" width="44.28515625" style="65" customWidth="1"/>
    <col min="5" max="5" width="11.42578125" style="64" customWidth="1"/>
    <col min="6" max="8" width="11.5703125" style="64" customWidth="1"/>
    <col min="9" max="9" width="16.140625" style="64" customWidth="1"/>
    <col min="10" max="12" width="16.140625" style="64" hidden="1" customWidth="1"/>
    <col min="13" max="13" width="13.5703125" style="64" customWidth="1"/>
    <col min="14" max="14" width="11.5703125" style="64" customWidth="1"/>
    <col min="15" max="15" width="14.7109375" style="64" customWidth="1"/>
    <col min="16" max="16" width="13.28515625" style="64" customWidth="1"/>
    <col min="17" max="19" width="11.5703125" style="64" customWidth="1"/>
    <col min="20" max="21" width="11.5703125" style="57" customWidth="1"/>
    <col min="22" max="22" width="13.140625" style="64" customWidth="1"/>
    <col min="23" max="30" width="11.5703125" style="64" customWidth="1"/>
    <col min="31" max="31" width="39.42578125" style="65" customWidth="1"/>
    <col min="32" max="16384" width="11.5703125" style="57"/>
  </cols>
  <sheetData>
    <row r="1" spans="1:31" ht="26.45" customHeight="1"/>
    <row r="2" spans="1:31" s="83" customFormat="1" ht="38.25">
      <c r="A2" s="81" t="s">
        <v>0</v>
      </c>
      <c r="B2" s="82" t="s">
        <v>1</v>
      </c>
      <c r="C2" s="82" t="s">
        <v>2</v>
      </c>
      <c r="D2" s="82" t="s">
        <v>3</v>
      </c>
      <c r="E2" s="82" t="s">
        <v>4</v>
      </c>
      <c r="F2" s="82" t="s">
        <v>5</v>
      </c>
      <c r="G2" s="280" t="s">
        <v>6</v>
      </c>
      <c r="H2" s="82" t="s">
        <v>7</v>
      </c>
      <c r="I2" s="82" t="s">
        <v>8</v>
      </c>
      <c r="J2" s="82" t="s">
        <v>9</v>
      </c>
      <c r="K2" s="82" t="s">
        <v>10</v>
      </c>
      <c r="L2" s="82" t="s">
        <v>11</v>
      </c>
      <c r="M2" s="82" t="s">
        <v>12</v>
      </c>
      <c r="N2" s="82" t="s">
        <v>13</v>
      </c>
      <c r="O2" s="82" t="s">
        <v>14</v>
      </c>
      <c r="P2" s="82" t="s">
        <v>15</v>
      </c>
      <c r="Q2" s="82" t="s">
        <v>16</v>
      </c>
      <c r="R2" s="82" t="s">
        <v>17</v>
      </c>
      <c r="S2" s="88" t="s">
        <v>18</v>
      </c>
      <c r="T2" s="85" t="s">
        <v>19</v>
      </c>
      <c r="U2" s="85" t="s">
        <v>20</v>
      </c>
      <c r="V2" s="94" t="s">
        <v>21</v>
      </c>
      <c r="W2" s="84" t="s">
        <v>22</v>
      </c>
      <c r="X2" s="96" t="s">
        <v>23</v>
      </c>
      <c r="Y2" s="82" t="s">
        <v>24</v>
      </c>
      <c r="Z2" s="82" t="s">
        <v>25</v>
      </c>
      <c r="AA2" s="82" t="s">
        <v>26</v>
      </c>
      <c r="AB2" s="82" t="s">
        <v>27</v>
      </c>
      <c r="AC2" s="84" t="s">
        <v>28</v>
      </c>
      <c r="AD2" s="84" t="s">
        <v>29</v>
      </c>
      <c r="AE2" s="84" t="s">
        <v>30</v>
      </c>
    </row>
    <row r="3" spans="1:31" ht="49.9" hidden="1" customHeight="1">
      <c r="A3" s="75">
        <v>1</v>
      </c>
      <c r="B3" s="55" t="s">
        <v>31</v>
      </c>
      <c r="C3" s="58" t="s">
        <v>32</v>
      </c>
      <c r="D3" s="58" t="s">
        <v>33</v>
      </c>
      <c r="E3" s="55" t="s">
        <v>34</v>
      </c>
      <c r="F3" s="55" t="s">
        <v>35</v>
      </c>
      <c r="G3" s="55" t="s">
        <v>36</v>
      </c>
      <c r="H3" s="55" t="s">
        <v>37</v>
      </c>
      <c r="I3" s="77">
        <v>1500000</v>
      </c>
      <c r="J3" s="77">
        <f>Tabla3[[#This Row],[Presupuesto asignado]]/2</f>
        <v>750000</v>
      </c>
      <c r="K3" s="77">
        <f>Tabla3[[#This Row],[Valor Ganado (EV)]]</f>
        <v>750000</v>
      </c>
      <c r="L3" s="77">
        <f>Tabla3[[#This Row],[Valor Ganado (EV)]]/Tabla3[[#This Row],[Costo Actual (AC)]]</f>
        <v>1</v>
      </c>
      <c r="M3" s="76">
        <v>45121</v>
      </c>
      <c r="N3" s="55" t="s">
        <v>38</v>
      </c>
      <c r="O3" s="55" t="s">
        <v>39</v>
      </c>
      <c r="P3" s="55" t="s">
        <v>40</v>
      </c>
      <c r="Q3" s="55">
        <v>2023</v>
      </c>
      <c r="R3" s="55">
        <v>2025</v>
      </c>
      <c r="S3" s="55">
        <v>1</v>
      </c>
      <c r="T3" s="75" t="s">
        <v>41</v>
      </c>
      <c r="U3" s="95" t="s">
        <v>42</v>
      </c>
      <c r="V3" s="55" t="s">
        <v>43</v>
      </c>
      <c r="W3" s="55" t="s">
        <v>42</v>
      </c>
      <c r="X3" s="55" t="s">
        <v>44</v>
      </c>
      <c r="Y3" s="76">
        <v>45139</v>
      </c>
      <c r="Z3" s="76">
        <v>45852</v>
      </c>
      <c r="AA3" s="78">
        <v>0</v>
      </c>
      <c r="AB3" s="78">
        <v>0</v>
      </c>
      <c r="AC3" s="86" t="e">
        <f>Tabla3[[#This Row],[% Avance ejecutado]]-Tabla3[[#This Row],[% Avance Planificado]]/Tabla3[[#This Row],[% Avance Planificado]]</f>
        <v>#DIV/0!</v>
      </c>
      <c r="AD3" s="283" t="s">
        <v>45</v>
      </c>
      <c r="AE3" s="79" t="s">
        <v>46</v>
      </c>
    </row>
    <row r="4" spans="1:31" ht="49.9" hidden="1" customHeight="1">
      <c r="A4" s="75">
        <v>2</v>
      </c>
      <c r="B4" s="55" t="s">
        <v>31</v>
      </c>
      <c r="C4" s="58" t="s">
        <v>47</v>
      </c>
      <c r="D4" s="58" t="s">
        <v>48</v>
      </c>
      <c r="E4" s="55" t="s">
        <v>34</v>
      </c>
      <c r="F4" s="55" t="s">
        <v>35</v>
      </c>
      <c r="G4" s="55" t="s">
        <v>36</v>
      </c>
      <c r="H4" s="55" t="s">
        <v>37</v>
      </c>
      <c r="I4" s="77">
        <v>2500000</v>
      </c>
      <c r="J4" s="77">
        <f>Tabla3[[#This Row],[Presupuesto asignado]]/2</f>
        <v>1250000</v>
      </c>
      <c r="K4" s="77">
        <f>Tabla3[[#This Row],[Valor Ganado (EV)]]</f>
        <v>1250000</v>
      </c>
      <c r="L4" s="77">
        <f>Tabla3[[#This Row],[Valor Ganado (EV)]]/Tabla3[[#This Row],[Costo Actual (AC)]]</f>
        <v>1</v>
      </c>
      <c r="M4" s="76">
        <v>45121</v>
      </c>
      <c r="N4" s="55" t="s">
        <v>38</v>
      </c>
      <c r="O4" s="55" t="s">
        <v>39</v>
      </c>
      <c r="P4" s="55" t="s">
        <v>40</v>
      </c>
      <c r="Q4" s="55">
        <v>2023</v>
      </c>
      <c r="R4" s="55">
        <v>2025</v>
      </c>
      <c r="S4" s="55"/>
      <c r="T4" s="75" t="s">
        <v>41</v>
      </c>
      <c r="U4" s="95" t="s">
        <v>42</v>
      </c>
      <c r="V4" s="55" t="s">
        <v>49</v>
      </c>
      <c r="W4" s="55" t="s">
        <v>42</v>
      </c>
      <c r="X4" s="55" t="s">
        <v>50</v>
      </c>
      <c r="Y4" s="76">
        <v>44972</v>
      </c>
      <c r="Z4" s="76">
        <v>45691</v>
      </c>
      <c r="AA4" s="78">
        <v>0</v>
      </c>
      <c r="AB4" s="78">
        <v>0</v>
      </c>
      <c r="AC4" s="86" t="e">
        <f>Tabla3[[#This Row],[% Avance ejecutado]]-Tabla3[[#This Row],[% Avance Planificado]]/Tabla3[[#This Row],[% Avance Planificado]]</f>
        <v>#DIV/0!</v>
      </c>
      <c r="AD4" s="283" t="s">
        <v>45</v>
      </c>
      <c r="AE4" s="284" t="s">
        <v>51</v>
      </c>
    </row>
    <row r="5" spans="1:31" ht="49.9" hidden="1" customHeight="1">
      <c r="A5" s="75">
        <v>3</v>
      </c>
      <c r="B5" s="55" t="s">
        <v>31</v>
      </c>
      <c r="C5" s="58" t="s">
        <v>52</v>
      </c>
      <c r="D5" s="58" t="s">
        <v>53</v>
      </c>
      <c r="E5" s="55" t="s">
        <v>34</v>
      </c>
      <c r="F5" s="55" t="s">
        <v>35</v>
      </c>
      <c r="G5" s="55" t="s">
        <v>36</v>
      </c>
      <c r="H5" s="55" t="s">
        <v>37</v>
      </c>
      <c r="I5" s="77">
        <v>2500000</v>
      </c>
      <c r="J5" s="77">
        <f>Tabla3[[#This Row],[Presupuesto asignado]]/2</f>
        <v>1250000</v>
      </c>
      <c r="K5" s="77">
        <f>Tabla3[[#This Row],[Valor Ganado (EV)]]</f>
        <v>1250000</v>
      </c>
      <c r="L5" s="77">
        <f>Tabla3[[#This Row],[Valor Ganado (EV)]]/Tabla3[[#This Row],[Costo Actual (AC)]]</f>
        <v>1</v>
      </c>
      <c r="M5" s="76">
        <v>45121</v>
      </c>
      <c r="N5" s="55" t="s">
        <v>38</v>
      </c>
      <c r="O5" s="55" t="s">
        <v>39</v>
      </c>
      <c r="P5" s="55" t="s">
        <v>40</v>
      </c>
      <c r="Q5" s="55">
        <v>2023</v>
      </c>
      <c r="R5" s="55">
        <v>2025</v>
      </c>
      <c r="S5" s="55"/>
      <c r="T5" s="75" t="s">
        <v>41</v>
      </c>
      <c r="U5" s="95" t="s">
        <v>42</v>
      </c>
      <c r="V5" s="55" t="s">
        <v>54</v>
      </c>
      <c r="W5" s="55" t="s">
        <v>42</v>
      </c>
      <c r="X5" s="55" t="s">
        <v>50</v>
      </c>
      <c r="Y5" s="76">
        <v>44972</v>
      </c>
      <c r="Z5" s="76">
        <v>45691</v>
      </c>
      <c r="AA5" s="78">
        <v>0</v>
      </c>
      <c r="AB5" s="78">
        <v>0</v>
      </c>
      <c r="AC5" s="86" t="e">
        <f>Tabla3[[#This Row],[% Avance ejecutado]]-Tabla3[[#This Row],[% Avance Planificado]]/Tabla3[[#This Row],[% Avance Planificado]]</f>
        <v>#DIV/0!</v>
      </c>
      <c r="AD5" s="283" t="s">
        <v>45</v>
      </c>
      <c r="AE5" s="284" t="s">
        <v>55</v>
      </c>
    </row>
    <row r="6" spans="1:31" ht="49.9" hidden="1" customHeight="1">
      <c r="A6" s="75">
        <v>4</v>
      </c>
      <c r="B6" s="55" t="s">
        <v>31</v>
      </c>
      <c r="C6" s="58" t="s">
        <v>56</v>
      </c>
      <c r="D6" s="58" t="s">
        <v>57</v>
      </c>
      <c r="E6" s="55" t="s">
        <v>34</v>
      </c>
      <c r="F6" s="55" t="s">
        <v>35</v>
      </c>
      <c r="G6" s="55" t="s">
        <v>58</v>
      </c>
      <c r="H6" s="55" t="s">
        <v>37</v>
      </c>
      <c r="I6" s="77">
        <v>550000</v>
      </c>
      <c r="J6" s="77">
        <f>Tabla3[[#This Row],[Presupuesto asignado]]/2</f>
        <v>275000</v>
      </c>
      <c r="K6" s="77">
        <f>Tabla3[[#This Row],[Valor Ganado (EV)]]</f>
        <v>275000</v>
      </c>
      <c r="L6" s="77">
        <f>Tabla3[[#This Row],[Valor Ganado (EV)]]/Tabla3[[#This Row],[Costo Actual (AC)]]</f>
        <v>1</v>
      </c>
      <c r="M6" s="76">
        <v>45121</v>
      </c>
      <c r="N6" s="55" t="s">
        <v>38</v>
      </c>
      <c r="O6" s="55" t="s">
        <v>39</v>
      </c>
      <c r="P6" s="55" t="s">
        <v>40</v>
      </c>
      <c r="Q6" s="55">
        <v>2023</v>
      </c>
      <c r="R6" s="55">
        <v>2025</v>
      </c>
      <c r="S6" s="55"/>
      <c r="T6" s="75" t="s">
        <v>41</v>
      </c>
      <c r="U6" s="95" t="s">
        <v>42</v>
      </c>
      <c r="V6" s="55" t="s">
        <v>59</v>
      </c>
      <c r="W6" s="55" t="s">
        <v>42</v>
      </c>
      <c r="X6" s="55" t="s">
        <v>60</v>
      </c>
      <c r="Y6" s="76">
        <v>45127</v>
      </c>
      <c r="Z6" s="76">
        <v>45821</v>
      </c>
      <c r="AA6" s="78">
        <v>0</v>
      </c>
      <c r="AB6" s="78">
        <v>0</v>
      </c>
      <c r="AC6" s="86" t="e">
        <f>Tabla3[[#This Row],[% Avance ejecutado]]-Tabla3[[#This Row],[% Avance Planificado]]/Tabla3[[#This Row],[% Avance Planificado]]</f>
        <v>#DIV/0!</v>
      </c>
      <c r="AD6" s="283" t="s">
        <v>45</v>
      </c>
      <c r="AE6" s="80" t="s">
        <v>61</v>
      </c>
    </row>
    <row r="7" spans="1:31" ht="49.9" hidden="1" customHeight="1">
      <c r="A7" s="75">
        <v>5</v>
      </c>
      <c r="B7" s="56" t="s">
        <v>62</v>
      </c>
      <c r="C7" s="393" t="s">
        <v>63</v>
      </c>
      <c r="D7" s="58" t="s">
        <v>64</v>
      </c>
      <c r="E7" s="55" t="s">
        <v>34</v>
      </c>
      <c r="F7" s="55" t="s">
        <v>65</v>
      </c>
      <c r="G7" s="55" t="s">
        <v>66</v>
      </c>
      <c r="H7" s="55" t="s">
        <v>67</v>
      </c>
      <c r="I7" s="77" t="s">
        <v>68</v>
      </c>
      <c r="J7" s="229" t="e">
        <f>Tabla3[[#This Row],[Presupuesto asignado]]/2</f>
        <v>#VALUE!</v>
      </c>
      <c r="K7" s="229" t="e">
        <f>Tabla3[[#This Row],[Valor Ganado (EV)]]</f>
        <v>#VALUE!</v>
      </c>
      <c r="L7" s="229" t="e">
        <f>Tabla3[[#This Row],[Valor Ganado (EV)]]/Tabla3[[#This Row],[Costo Actual (AC)]]</f>
        <v>#VALUE!</v>
      </c>
      <c r="M7" s="76">
        <v>45121</v>
      </c>
      <c r="N7" s="55" t="s">
        <v>69</v>
      </c>
      <c r="O7" s="55" t="s">
        <v>39</v>
      </c>
      <c r="P7" s="55" t="s">
        <v>40</v>
      </c>
      <c r="Q7" s="55">
        <v>2023</v>
      </c>
      <c r="R7" s="55">
        <v>2026</v>
      </c>
      <c r="S7" s="55">
        <v>5</v>
      </c>
      <c r="T7" s="75" t="s">
        <v>41</v>
      </c>
      <c r="U7" s="177" t="s">
        <v>70</v>
      </c>
      <c r="V7" s="55" t="s">
        <v>71</v>
      </c>
      <c r="W7" s="55" t="s">
        <v>41</v>
      </c>
      <c r="X7" s="55" t="s">
        <v>72</v>
      </c>
      <c r="Y7" s="76">
        <v>45110</v>
      </c>
      <c r="Z7" s="76">
        <v>46081</v>
      </c>
      <c r="AA7" s="78">
        <v>0.88</v>
      </c>
      <c r="AB7" s="78">
        <v>0.85</v>
      </c>
      <c r="AC7" s="86">
        <f>Tabla3[[#This Row],[% Avance ejecutado]]-Tabla3[[#This Row],[% Avance Planificado]]/Tabla3[[#This Row],[% Avance Planificado]]</f>
        <v>-0.15000000000000002</v>
      </c>
      <c r="AD7" s="55" t="s">
        <v>73</v>
      </c>
      <c r="AE7" s="394" t="s">
        <v>74</v>
      </c>
    </row>
    <row r="8" spans="1:31" ht="49.9" hidden="1" customHeight="1">
      <c r="A8" s="75">
        <v>6</v>
      </c>
      <c r="B8" s="56" t="s">
        <v>75</v>
      </c>
      <c r="C8" s="393" t="s">
        <v>76</v>
      </c>
      <c r="D8" s="58" t="s">
        <v>77</v>
      </c>
      <c r="E8" s="55" t="s">
        <v>34</v>
      </c>
      <c r="F8" s="55" t="s">
        <v>78</v>
      </c>
      <c r="G8" s="55" t="s">
        <v>66</v>
      </c>
      <c r="H8" s="55" t="s">
        <v>79</v>
      </c>
      <c r="I8" s="77">
        <v>866957</v>
      </c>
      <c r="J8" s="229">
        <v>500000</v>
      </c>
      <c r="K8" s="229">
        <v>800000</v>
      </c>
      <c r="L8" s="229">
        <f>Tabla3[[#This Row],[Valor Ganado (EV)]]/Tabla3[[#This Row],[Costo Actual (AC)]]</f>
        <v>0.625</v>
      </c>
      <c r="M8" s="76">
        <v>45121</v>
      </c>
      <c r="N8" s="55" t="s">
        <v>69</v>
      </c>
      <c r="O8" s="55" t="s">
        <v>39</v>
      </c>
      <c r="P8" s="55" t="s">
        <v>40</v>
      </c>
      <c r="Q8" s="55">
        <v>2023</v>
      </c>
      <c r="R8" s="55">
        <v>2026</v>
      </c>
      <c r="S8" s="55">
        <v>4</v>
      </c>
      <c r="T8" s="75" t="s">
        <v>41</v>
      </c>
      <c r="U8" s="177" t="s">
        <v>70</v>
      </c>
      <c r="V8" s="55" t="s">
        <v>80</v>
      </c>
      <c r="W8" s="55" t="s">
        <v>41</v>
      </c>
      <c r="X8" s="55" t="s">
        <v>81</v>
      </c>
      <c r="Y8" s="76">
        <v>45071</v>
      </c>
      <c r="Z8" s="76">
        <v>46295</v>
      </c>
      <c r="AA8" s="78">
        <v>0.87</v>
      </c>
      <c r="AB8" s="78">
        <v>0.84</v>
      </c>
      <c r="AC8" s="86">
        <f>Tabla3[[#This Row],[% Avance ejecutado]]-Tabla3[[#This Row],[% Avance Planificado]]/Tabla3[[#This Row],[% Avance Planificado]]</f>
        <v>-0.16000000000000003</v>
      </c>
      <c r="AD8" s="55" t="s">
        <v>73</v>
      </c>
      <c r="AE8" s="394" t="s">
        <v>82</v>
      </c>
    </row>
    <row r="9" spans="1:31" ht="49.9" hidden="1" customHeight="1">
      <c r="A9" s="75">
        <v>7</v>
      </c>
      <c r="B9" s="56" t="s">
        <v>83</v>
      </c>
      <c r="C9" s="393" t="s">
        <v>84</v>
      </c>
      <c r="D9" s="58" t="s">
        <v>85</v>
      </c>
      <c r="E9" s="55" t="s">
        <v>34</v>
      </c>
      <c r="F9" s="55" t="s">
        <v>86</v>
      </c>
      <c r="G9" s="55" t="s">
        <v>66</v>
      </c>
      <c r="H9" s="55" t="s">
        <v>79</v>
      </c>
      <c r="I9" s="77">
        <v>31894424.219999999</v>
      </c>
      <c r="J9" s="229">
        <v>500000</v>
      </c>
      <c r="K9" s="229">
        <v>400000</v>
      </c>
      <c r="L9" s="229">
        <f>Tabla3[[#This Row],[Valor Ganado (EV)]]/Tabla3[[#This Row],[Costo Actual (AC)]]</f>
        <v>1.25</v>
      </c>
      <c r="M9" s="76">
        <v>45121</v>
      </c>
      <c r="N9" s="55" t="s">
        <v>69</v>
      </c>
      <c r="O9" s="55" t="s">
        <v>39</v>
      </c>
      <c r="P9" s="55" t="s">
        <v>40</v>
      </c>
      <c r="Q9" s="55">
        <v>2023</v>
      </c>
      <c r="R9" s="55">
        <v>2025</v>
      </c>
      <c r="S9" s="55">
        <v>5</v>
      </c>
      <c r="T9" s="75" t="s">
        <v>41</v>
      </c>
      <c r="U9" s="177" t="s">
        <v>70</v>
      </c>
      <c r="V9" s="55" t="s">
        <v>87</v>
      </c>
      <c r="W9" s="55" t="s">
        <v>41</v>
      </c>
      <c r="X9" s="55" t="s">
        <v>88</v>
      </c>
      <c r="Y9" s="76">
        <v>45065</v>
      </c>
      <c r="Z9" s="76">
        <v>46112</v>
      </c>
      <c r="AA9" s="78">
        <v>0.76</v>
      </c>
      <c r="AB9" s="78">
        <v>0.71</v>
      </c>
      <c r="AC9" s="86">
        <f>Tabla3[[#This Row],[% Avance ejecutado]]-Tabla3[[#This Row],[% Avance Planificado]]/Tabla3[[#This Row],[% Avance Planificado]]</f>
        <v>-0.29000000000000004</v>
      </c>
      <c r="AD9" s="55" t="s">
        <v>73</v>
      </c>
      <c r="AE9" s="394" t="s">
        <v>89</v>
      </c>
    </row>
    <row r="10" spans="1:31" ht="49.9" hidden="1" customHeight="1">
      <c r="A10" s="75">
        <v>8</v>
      </c>
      <c r="B10" s="56" t="s">
        <v>90</v>
      </c>
      <c r="C10" s="393" t="s">
        <v>91</v>
      </c>
      <c r="D10" s="58" t="s">
        <v>92</v>
      </c>
      <c r="E10" s="55" t="s">
        <v>93</v>
      </c>
      <c r="F10" s="55" t="s">
        <v>94</v>
      </c>
      <c r="G10" s="281" t="s">
        <v>95</v>
      </c>
      <c r="H10" s="55" t="s">
        <v>96</v>
      </c>
      <c r="I10" s="77">
        <v>1884223</v>
      </c>
      <c r="J10" s="77"/>
      <c r="K10" s="77"/>
      <c r="L10" s="77"/>
      <c r="M10" s="76">
        <v>45121</v>
      </c>
      <c r="N10" s="55" t="s">
        <v>69</v>
      </c>
      <c r="O10" s="55" t="s">
        <v>97</v>
      </c>
      <c r="P10" s="55" t="s">
        <v>98</v>
      </c>
      <c r="Q10" s="55">
        <v>2023</v>
      </c>
      <c r="R10" s="55">
        <v>2025</v>
      </c>
      <c r="S10" s="55">
        <v>3</v>
      </c>
      <c r="T10" s="75" t="s">
        <v>41</v>
      </c>
      <c r="U10" s="177" t="s">
        <v>70</v>
      </c>
      <c r="V10" s="55" t="s">
        <v>99</v>
      </c>
      <c r="W10" s="55" t="s">
        <v>41</v>
      </c>
      <c r="X10" s="55" t="s">
        <v>100</v>
      </c>
      <c r="Y10" s="76">
        <v>45110</v>
      </c>
      <c r="Z10" s="76">
        <v>46052</v>
      </c>
      <c r="AA10" s="78">
        <v>0.97</v>
      </c>
      <c r="AB10" s="78">
        <v>0.97</v>
      </c>
      <c r="AC10" s="86">
        <f>Tabla3[[#This Row],[% Avance ejecutado]]-Tabla3[[#This Row],[% Avance Planificado]]/Tabla3[[#This Row],[% Avance Planificado]]</f>
        <v>-3.0000000000000027E-2</v>
      </c>
      <c r="AD10" s="55" t="s">
        <v>73</v>
      </c>
      <c r="AE10" s="394" t="s">
        <v>101</v>
      </c>
    </row>
    <row r="11" spans="1:31" ht="49.9" hidden="1" customHeight="1">
      <c r="A11" s="75">
        <v>9</v>
      </c>
      <c r="B11" s="56" t="s">
        <v>102</v>
      </c>
      <c r="C11" s="393" t="s">
        <v>103</v>
      </c>
      <c r="D11" s="58" t="s">
        <v>104</v>
      </c>
      <c r="E11" s="55" t="s">
        <v>93</v>
      </c>
      <c r="F11" s="87" t="s">
        <v>94</v>
      </c>
      <c r="G11" s="281" t="s">
        <v>105</v>
      </c>
      <c r="H11" s="55" t="s">
        <v>106</v>
      </c>
      <c r="I11" s="77">
        <v>11876434.84</v>
      </c>
      <c r="J11" s="77"/>
      <c r="K11" s="77"/>
      <c r="L11" s="77"/>
      <c r="M11" s="76">
        <v>45121</v>
      </c>
      <c r="N11" s="55" t="s">
        <v>69</v>
      </c>
      <c r="O11" s="55" t="s">
        <v>97</v>
      </c>
      <c r="P11" s="55" t="s">
        <v>40</v>
      </c>
      <c r="Q11" s="55">
        <v>2021</v>
      </c>
      <c r="R11" s="55">
        <v>2025</v>
      </c>
      <c r="S11" s="55">
        <v>3</v>
      </c>
      <c r="T11" s="75" t="s">
        <v>41</v>
      </c>
      <c r="U11" s="177" t="s">
        <v>70</v>
      </c>
      <c r="V11" s="55" t="s">
        <v>107</v>
      </c>
      <c r="W11" s="55" t="s">
        <v>41</v>
      </c>
      <c r="X11" s="55" t="s">
        <v>108</v>
      </c>
      <c r="Y11" s="76">
        <v>44274</v>
      </c>
      <c r="Z11" s="76">
        <v>46160</v>
      </c>
      <c r="AA11" s="335"/>
      <c r="AB11" s="335"/>
      <c r="AC11" s="86" t="e">
        <f>Tabla3[[#This Row],[% Avance ejecutado]]-Tabla3[[#This Row],[% Avance Planificado]]/Tabla3[[#This Row],[% Avance Planificado]]</f>
        <v>#DIV/0!</v>
      </c>
      <c r="AD11" s="55" t="s">
        <v>73</v>
      </c>
      <c r="AE11" s="394" t="s">
        <v>109</v>
      </c>
    </row>
    <row r="12" spans="1:31" ht="49.9" hidden="1" customHeight="1">
      <c r="A12" s="75">
        <v>10</v>
      </c>
      <c r="B12" s="56" t="s">
        <v>110</v>
      </c>
      <c r="C12" s="58" t="s">
        <v>111</v>
      </c>
      <c r="D12" s="58" t="s">
        <v>112</v>
      </c>
      <c r="E12" s="55" t="s">
        <v>113</v>
      </c>
      <c r="F12" s="55" t="s">
        <v>114</v>
      </c>
      <c r="G12" s="281" t="s">
        <v>36</v>
      </c>
      <c r="H12" s="55" t="s">
        <v>37</v>
      </c>
      <c r="I12" s="77">
        <v>7584500</v>
      </c>
      <c r="J12" s="77">
        <f>Tabla3[[#This Row],[Presupuesto asignado]]/2</f>
        <v>3792250</v>
      </c>
      <c r="K12" s="77">
        <f>Tabla3[[#This Row],[Valor Ganado (EV)]]</f>
        <v>3792250</v>
      </c>
      <c r="L12" s="77">
        <f>Tabla3[[#This Row],[Valor Ganado (EV)]]/Tabla3[[#This Row],[Costo Actual (AC)]]</f>
        <v>1</v>
      </c>
      <c r="M12" s="76">
        <v>45121</v>
      </c>
      <c r="N12" s="55" t="s">
        <v>69</v>
      </c>
      <c r="O12" s="55" t="s">
        <v>97</v>
      </c>
      <c r="P12" s="55" t="s">
        <v>40</v>
      </c>
      <c r="Q12" s="55">
        <v>2023</v>
      </c>
      <c r="R12" s="55">
        <v>2025</v>
      </c>
      <c r="S12" s="55">
        <v>0</v>
      </c>
      <c r="T12" s="75" t="s">
        <v>41</v>
      </c>
      <c r="U12" s="177" t="s">
        <v>70</v>
      </c>
      <c r="V12" s="55" t="s">
        <v>115</v>
      </c>
      <c r="W12" s="55" t="s">
        <v>41</v>
      </c>
      <c r="X12" s="55" t="s">
        <v>116</v>
      </c>
      <c r="Y12" s="76">
        <v>44928</v>
      </c>
      <c r="Z12" s="76">
        <v>45774</v>
      </c>
      <c r="AA12" s="78">
        <v>1</v>
      </c>
      <c r="AB12" s="78">
        <v>1</v>
      </c>
      <c r="AC12" s="86">
        <f>Tabla3[[#This Row],[% Avance ejecutado]]-Tabla3[[#This Row],[% Avance Planificado]]/Tabla3[[#This Row],[% Avance Planificado]]</f>
        <v>0</v>
      </c>
      <c r="AD12" s="55" t="s">
        <v>117</v>
      </c>
      <c r="AE12" s="79" t="s">
        <v>118</v>
      </c>
    </row>
    <row r="13" spans="1:31" ht="49.9" hidden="1" customHeight="1">
      <c r="A13" s="75">
        <v>11</v>
      </c>
      <c r="B13" s="55" t="s">
        <v>119</v>
      </c>
      <c r="C13" s="58" t="s">
        <v>120</v>
      </c>
      <c r="D13" s="58" t="s">
        <v>121</v>
      </c>
      <c r="E13" s="55" t="s">
        <v>113</v>
      </c>
      <c r="F13" s="55" t="s">
        <v>114</v>
      </c>
      <c r="G13" s="55" t="s">
        <v>36</v>
      </c>
      <c r="H13" s="55" t="s">
        <v>37</v>
      </c>
      <c r="I13" s="77">
        <v>7000000</v>
      </c>
      <c r="J13" s="77">
        <f>Tabla3[[#This Row],[Presupuesto asignado]]/2</f>
        <v>3500000</v>
      </c>
      <c r="K13" s="77">
        <f>Tabla3[[#This Row],[Valor Ganado (EV)]]</f>
        <v>3500000</v>
      </c>
      <c r="L13" s="77">
        <f>Tabla3[[#This Row],[Valor Ganado (EV)]]/Tabla3[[#This Row],[Costo Actual (AC)]]</f>
        <v>1</v>
      </c>
      <c r="M13" s="76">
        <v>45121</v>
      </c>
      <c r="N13" s="55"/>
      <c r="O13" s="55" t="s">
        <v>97</v>
      </c>
      <c r="P13" s="55" t="s">
        <v>40</v>
      </c>
      <c r="Q13" s="55">
        <v>2023</v>
      </c>
      <c r="R13" s="55">
        <v>2024</v>
      </c>
      <c r="S13" s="55"/>
      <c r="T13" s="75" t="s">
        <v>41</v>
      </c>
      <c r="U13" s="95" t="s">
        <v>41</v>
      </c>
      <c r="V13" s="55" t="s">
        <v>122</v>
      </c>
      <c r="W13" s="55" t="s">
        <v>42</v>
      </c>
      <c r="X13" s="55" t="s">
        <v>123</v>
      </c>
      <c r="Y13" s="76">
        <v>44957</v>
      </c>
      <c r="Z13" s="76">
        <v>45499</v>
      </c>
      <c r="AA13" s="78">
        <v>1</v>
      </c>
      <c r="AB13" s="78">
        <v>1</v>
      </c>
      <c r="AC13" s="86">
        <f>Tabla3[[#This Row],[% Avance ejecutado]]-Tabla3[[#This Row],[% Avance Planificado]]/Tabla3[[#This Row],[% Avance Planificado]]</f>
        <v>0</v>
      </c>
      <c r="AD13" s="55" t="s">
        <v>117</v>
      </c>
      <c r="AE13" s="79" t="s">
        <v>124</v>
      </c>
    </row>
    <row r="14" spans="1:31" ht="49.9" hidden="1" customHeight="1">
      <c r="A14" s="75">
        <v>12</v>
      </c>
      <c r="B14" s="376" t="s">
        <v>125</v>
      </c>
      <c r="C14" s="58" t="s">
        <v>126</v>
      </c>
      <c r="D14" s="58" t="s">
        <v>127</v>
      </c>
      <c r="E14" s="55" t="s">
        <v>128</v>
      </c>
      <c r="F14" s="55" t="s">
        <v>129</v>
      </c>
      <c r="G14" s="55" t="s">
        <v>36</v>
      </c>
      <c r="H14" s="55" t="s">
        <v>37</v>
      </c>
      <c r="I14" s="77">
        <v>0</v>
      </c>
      <c r="J14" s="77">
        <f>Tabla3[[#This Row],[Presupuesto asignado]]/2</f>
        <v>0</v>
      </c>
      <c r="K14" s="77">
        <f>Tabla3[[#This Row],[Valor Ganado (EV)]]</f>
        <v>0</v>
      </c>
      <c r="L14" s="77" t="e">
        <f>Tabla3[[#This Row],[Valor Ganado (EV)]]/Tabla3[[#This Row],[Costo Actual (AC)]]</f>
        <v>#DIV/0!</v>
      </c>
      <c r="M14" s="76">
        <v>45121</v>
      </c>
      <c r="N14" s="55"/>
      <c r="O14" s="55" t="s">
        <v>130</v>
      </c>
      <c r="P14" s="55" t="s">
        <v>40</v>
      </c>
      <c r="Q14" s="55">
        <v>2023</v>
      </c>
      <c r="R14" s="55">
        <v>2024</v>
      </c>
      <c r="S14" s="55"/>
      <c r="T14" s="75" t="s">
        <v>41</v>
      </c>
      <c r="U14" s="95" t="s">
        <v>41</v>
      </c>
      <c r="V14" s="55" t="s">
        <v>131</v>
      </c>
      <c r="W14" s="55" t="s">
        <v>70</v>
      </c>
      <c r="X14" s="55" t="s">
        <v>132</v>
      </c>
      <c r="Y14" s="76">
        <v>45208</v>
      </c>
      <c r="Z14" s="76">
        <v>45401</v>
      </c>
      <c r="AA14" s="78">
        <v>1</v>
      </c>
      <c r="AB14" s="78">
        <v>1</v>
      </c>
      <c r="AC14" s="86">
        <f>Tabla3[[#This Row],[% Avance ejecutado]]-Tabla3[[#This Row],[% Avance Planificado]]/Tabla3[[#This Row],[% Avance Planificado]]</f>
        <v>0</v>
      </c>
      <c r="AD14" s="55" t="s">
        <v>117</v>
      </c>
      <c r="AE14" s="79" t="s">
        <v>133</v>
      </c>
    </row>
    <row r="15" spans="1:31" ht="49.9" hidden="1" customHeight="1">
      <c r="A15" s="75">
        <v>13</v>
      </c>
      <c r="B15" s="376" t="s">
        <v>125</v>
      </c>
      <c r="C15" s="58" t="s">
        <v>134</v>
      </c>
      <c r="D15" s="58" t="s">
        <v>135</v>
      </c>
      <c r="E15" s="55" t="s">
        <v>128</v>
      </c>
      <c r="F15" s="55" t="s">
        <v>136</v>
      </c>
      <c r="G15" s="55" t="s">
        <v>137</v>
      </c>
      <c r="H15" s="55" t="s">
        <v>37</v>
      </c>
      <c r="I15" s="77">
        <v>101600</v>
      </c>
      <c r="J15" s="77">
        <f>Tabla3[[#This Row],[Presupuesto asignado]]/2</f>
        <v>50800</v>
      </c>
      <c r="K15" s="77">
        <f>Tabla3[[#This Row],[Valor Ganado (EV)]]</f>
        <v>50800</v>
      </c>
      <c r="L15" s="77">
        <f>Tabla3[[#This Row],[Valor Ganado (EV)]]/Tabla3[[#This Row],[Costo Actual (AC)]]</f>
        <v>1</v>
      </c>
      <c r="M15" s="76">
        <v>45121</v>
      </c>
      <c r="N15" s="55"/>
      <c r="O15" s="55" t="s">
        <v>130</v>
      </c>
      <c r="P15" s="55" t="s">
        <v>40</v>
      </c>
      <c r="Q15" s="55">
        <v>2023</v>
      </c>
      <c r="R15" s="55">
        <v>2024</v>
      </c>
      <c r="S15" s="55"/>
      <c r="T15" s="75" t="s">
        <v>41</v>
      </c>
      <c r="U15" s="95" t="s">
        <v>41</v>
      </c>
      <c r="V15" s="55" t="s">
        <v>138</v>
      </c>
      <c r="W15" s="55" t="s">
        <v>70</v>
      </c>
      <c r="X15" s="55" t="s">
        <v>139</v>
      </c>
      <c r="Y15" s="76">
        <v>45040</v>
      </c>
      <c r="Z15" s="76">
        <v>45510</v>
      </c>
      <c r="AA15" s="78">
        <v>0.44</v>
      </c>
      <c r="AB15" s="78">
        <v>0.4</v>
      </c>
      <c r="AC15" s="86">
        <f>Tabla3[[#This Row],[% Avance ejecutado]]-Tabla3[[#This Row],[% Avance Planificado]]/Tabla3[[#This Row],[% Avance Planificado]]</f>
        <v>-0.6</v>
      </c>
      <c r="AD15" s="283" t="s">
        <v>45</v>
      </c>
      <c r="AE15" s="285" t="s">
        <v>140</v>
      </c>
    </row>
    <row r="16" spans="1:31" ht="49.9" hidden="1" customHeight="1">
      <c r="A16" s="75">
        <v>14</v>
      </c>
      <c r="B16" s="376" t="s">
        <v>125</v>
      </c>
      <c r="C16" s="58" t="s">
        <v>141</v>
      </c>
      <c r="D16" s="58" t="s">
        <v>142</v>
      </c>
      <c r="E16" s="55" t="s">
        <v>128</v>
      </c>
      <c r="F16" s="55" t="s">
        <v>129</v>
      </c>
      <c r="G16" s="55" t="s">
        <v>36</v>
      </c>
      <c r="H16" s="55" t="s">
        <v>37</v>
      </c>
      <c r="I16" s="77">
        <v>384787</v>
      </c>
      <c r="J16" s="77">
        <f>Tabla3[[#This Row],[Presupuesto asignado]]/2</f>
        <v>192393.5</v>
      </c>
      <c r="K16" s="77">
        <f>Tabla3[[#This Row],[Valor Ganado (EV)]]</f>
        <v>192393.5</v>
      </c>
      <c r="L16" s="77">
        <f>Tabla3[[#This Row],[Valor Ganado (EV)]]/Tabla3[[#This Row],[Costo Actual (AC)]]</f>
        <v>1</v>
      </c>
      <c r="M16" s="76">
        <v>45121</v>
      </c>
      <c r="N16" s="55"/>
      <c r="O16" s="55" t="s">
        <v>39</v>
      </c>
      <c r="P16" s="55" t="s">
        <v>40</v>
      </c>
      <c r="Q16" s="55">
        <v>2022</v>
      </c>
      <c r="R16" s="55">
        <v>2024</v>
      </c>
      <c r="S16" s="55"/>
      <c r="T16" s="75" t="s">
        <v>41</v>
      </c>
      <c r="U16" s="95" t="s">
        <v>41</v>
      </c>
      <c r="V16" s="55" t="s">
        <v>143</v>
      </c>
      <c r="W16" s="55" t="s">
        <v>70</v>
      </c>
      <c r="X16" s="55" t="s">
        <v>144</v>
      </c>
      <c r="Y16" s="76">
        <v>44866</v>
      </c>
      <c r="Z16" s="76">
        <v>45322</v>
      </c>
      <c r="AA16" s="78">
        <v>1</v>
      </c>
      <c r="AB16" s="78">
        <v>1</v>
      </c>
      <c r="AC16" s="86">
        <f>Tabla3[[#This Row],[% Avance ejecutado]]-Tabla3[[#This Row],[% Avance Planificado]]/Tabla3[[#This Row],[% Avance Planificado]]</f>
        <v>0</v>
      </c>
      <c r="AD16" s="55" t="s">
        <v>117</v>
      </c>
      <c r="AE16" s="79" t="s">
        <v>145</v>
      </c>
    </row>
    <row r="17" spans="1:31" ht="49.9" hidden="1" customHeight="1">
      <c r="A17" s="75">
        <v>15</v>
      </c>
      <c r="B17" s="56" t="s">
        <v>146</v>
      </c>
      <c r="C17" s="393" t="s">
        <v>147</v>
      </c>
      <c r="D17" s="58" t="s">
        <v>148</v>
      </c>
      <c r="E17" s="55" t="s">
        <v>128</v>
      </c>
      <c r="F17" s="55" t="s">
        <v>149</v>
      </c>
      <c r="G17" s="281" t="s">
        <v>150</v>
      </c>
      <c r="H17" s="55" t="s">
        <v>96</v>
      </c>
      <c r="I17" s="77">
        <v>2166000</v>
      </c>
      <c r="J17" s="77"/>
      <c r="K17" s="77"/>
      <c r="L17" s="77"/>
      <c r="M17" s="76">
        <v>45121</v>
      </c>
      <c r="N17" s="55" t="s">
        <v>69</v>
      </c>
      <c r="O17" s="55" t="s">
        <v>130</v>
      </c>
      <c r="P17" s="55" t="s">
        <v>98</v>
      </c>
      <c r="Q17" s="55">
        <v>2023</v>
      </c>
      <c r="R17" s="55">
        <v>2025</v>
      </c>
      <c r="S17" s="55">
        <v>3</v>
      </c>
      <c r="T17" s="75" t="s">
        <v>41</v>
      </c>
      <c r="U17" s="177" t="s">
        <v>70</v>
      </c>
      <c r="V17" s="55" t="s">
        <v>151</v>
      </c>
      <c r="W17" s="55" t="s">
        <v>41</v>
      </c>
      <c r="X17" s="55" t="s">
        <v>152</v>
      </c>
      <c r="Y17" s="76">
        <v>45048</v>
      </c>
      <c r="Z17" s="76">
        <v>46052</v>
      </c>
      <c r="AA17" s="78">
        <v>1</v>
      </c>
      <c r="AB17" s="78">
        <v>1</v>
      </c>
      <c r="AC17" s="86">
        <f>Tabla3[[#This Row],[% Avance ejecutado]]-Tabla3[[#This Row],[% Avance Planificado]]/Tabla3[[#This Row],[% Avance Planificado]]</f>
        <v>0</v>
      </c>
      <c r="AD17" s="55" t="s">
        <v>117</v>
      </c>
      <c r="AE17" s="394" t="s">
        <v>153</v>
      </c>
    </row>
    <row r="18" spans="1:31" ht="49.9" hidden="1" customHeight="1">
      <c r="A18" s="75">
        <v>16</v>
      </c>
      <c r="B18" s="56" t="s">
        <v>154</v>
      </c>
      <c r="C18" s="393" t="s">
        <v>155</v>
      </c>
      <c r="D18" s="58" t="s">
        <v>156</v>
      </c>
      <c r="E18" s="55" t="s">
        <v>34</v>
      </c>
      <c r="F18" s="55" t="s">
        <v>157</v>
      </c>
      <c r="G18" s="282" t="s">
        <v>158</v>
      </c>
      <c r="H18" s="168" t="s">
        <v>67</v>
      </c>
      <c r="I18" s="77">
        <v>69726959.719999999</v>
      </c>
      <c r="J18" s="77"/>
      <c r="K18" s="77"/>
      <c r="L18" s="77"/>
      <c r="M18" s="76">
        <v>45121</v>
      </c>
      <c r="N18" s="55" t="s">
        <v>69</v>
      </c>
      <c r="O18" s="55" t="s">
        <v>97</v>
      </c>
      <c r="P18" s="55" t="s">
        <v>40</v>
      </c>
      <c r="Q18" s="55">
        <v>2023</v>
      </c>
      <c r="R18" s="55">
        <v>2027</v>
      </c>
      <c r="S18" s="55">
        <v>3</v>
      </c>
      <c r="T18" s="75" t="s">
        <v>41</v>
      </c>
      <c r="U18" s="95" t="s">
        <v>42</v>
      </c>
      <c r="V18" s="55" t="s">
        <v>159</v>
      </c>
      <c r="W18" s="108" t="s">
        <v>42</v>
      </c>
      <c r="X18" s="55" t="s">
        <v>81</v>
      </c>
      <c r="Y18" s="76">
        <v>45009</v>
      </c>
      <c r="Z18" s="76">
        <v>46734</v>
      </c>
      <c r="AA18" s="78">
        <v>0.56000000000000005</v>
      </c>
      <c r="AB18" s="78">
        <v>0.47</v>
      </c>
      <c r="AC18" s="86">
        <f>Tabla3[[#This Row],[% Avance ejecutado]]-Tabla3[[#This Row],[% Avance Planificado]]/Tabla3[[#This Row],[% Avance Planificado]]</f>
        <v>-0.53</v>
      </c>
      <c r="AD18" s="55" t="s">
        <v>73</v>
      </c>
      <c r="AE18" s="394" t="s">
        <v>160</v>
      </c>
    </row>
    <row r="19" spans="1:31" ht="49.9" hidden="1" customHeight="1">
      <c r="A19" s="75">
        <v>17</v>
      </c>
      <c r="B19" s="55" t="s">
        <v>161</v>
      </c>
      <c r="C19" s="58" t="s">
        <v>162</v>
      </c>
      <c r="D19" s="58" t="s">
        <v>163</v>
      </c>
      <c r="E19" s="55" t="s">
        <v>164</v>
      </c>
      <c r="F19" s="55" t="s">
        <v>165</v>
      </c>
      <c r="G19" s="55" t="s">
        <v>166</v>
      </c>
      <c r="H19" s="55" t="s">
        <v>106</v>
      </c>
      <c r="I19" s="77">
        <v>0</v>
      </c>
      <c r="J19" s="77"/>
      <c r="K19" s="77"/>
      <c r="L19" s="77"/>
      <c r="M19" s="76">
        <v>45121</v>
      </c>
      <c r="N19" s="55" t="s">
        <v>69</v>
      </c>
      <c r="O19" s="55"/>
      <c r="P19" s="55"/>
      <c r="Q19" s="55">
        <v>2023</v>
      </c>
      <c r="R19" s="55">
        <v>2025</v>
      </c>
      <c r="S19" s="55">
        <v>2</v>
      </c>
      <c r="T19" s="75" t="s">
        <v>42</v>
      </c>
      <c r="U19" s="75" t="s">
        <v>42</v>
      </c>
      <c r="V19" s="55" t="s">
        <v>167</v>
      </c>
      <c r="W19" s="55" t="s">
        <v>42</v>
      </c>
      <c r="X19" s="55" t="s">
        <v>37</v>
      </c>
      <c r="Y19" s="76">
        <v>44991</v>
      </c>
      <c r="Z19" s="76">
        <v>46022</v>
      </c>
      <c r="AA19" s="78">
        <v>0.71</v>
      </c>
      <c r="AB19" s="78">
        <v>0.6</v>
      </c>
      <c r="AC19" s="86">
        <f>Tabla3[[#This Row],[% Avance ejecutado]]-Tabla3[[#This Row],[% Avance Planificado]]/Tabla3[[#This Row],[% Avance Planificado]]</f>
        <v>-0.4</v>
      </c>
      <c r="AD19" s="55" t="s">
        <v>45</v>
      </c>
      <c r="AE19" s="370" t="s">
        <v>168</v>
      </c>
    </row>
    <row r="20" spans="1:31" ht="49.9" hidden="1" customHeight="1">
      <c r="A20" s="75">
        <v>18</v>
      </c>
      <c r="B20" s="55" t="s">
        <v>169</v>
      </c>
      <c r="C20" s="58" t="s">
        <v>170</v>
      </c>
      <c r="D20" s="58" t="s">
        <v>171</v>
      </c>
      <c r="E20" s="55" t="s">
        <v>164</v>
      </c>
      <c r="F20" s="55" t="s">
        <v>172</v>
      </c>
      <c r="G20" s="55" t="s">
        <v>36</v>
      </c>
      <c r="H20" s="55" t="s">
        <v>37</v>
      </c>
      <c r="I20" s="77">
        <v>493750</v>
      </c>
      <c r="J20" s="77">
        <f>Tabla3[[#This Row],[Presupuesto asignado]]/2</f>
        <v>246875</v>
      </c>
      <c r="K20" s="77">
        <f>Tabla3[[#This Row],[Valor Ganado (EV)]]</f>
        <v>246875</v>
      </c>
      <c r="L20" s="77">
        <f>Tabla3[[#This Row],[Valor Ganado (EV)]]/Tabla3[[#This Row],[Costo Actual (AC)]]</f>
        <v>1</v>
      </c>
      <c r="M20" s="76">
        <v>45121</v>
      </c>
      <c r="N20" s="55" t="s">
        <v>69</v>
      </c>
      <c r="O20" s="55" t="s">
        <v>173</v>
      </c>
      <c r="P20" s="55" t="s">
        <v>98</v>
      </c>
      <c r="Q20" s="55">
        <v>2023</v>
      </c>
      <c r="R20" s="55">
        <v>2025</v>
      </c>
      <c r="S20" s="55"/>
      <c r="T20" s="75" t="s">
        <v>42</v>
      </c>
      <c r="U20" s="75" t="s">
        <v>41</v>
      </c>
      <c r="V20" s="55" t="s">
        <v>174</v>
      </c>
      <c r="W20" s="55" t="s">
        <v>175</v>
      </c>
      <c r="X20" s="55" t="s">
        <v>175</v>
      </c>
      <c r="Y20" s="76">
        <v>45061</v>
      </c>
      <c r="Z20" s="76">
        <v>45707</v>
      </c>
      <c r="AA20" s="78">
        <v>1</v>
      </c>
      <c r="AB20" s="78">
        <v>1</v>
      </c>
      <c r="AC20" s="86">
        <f>Tabla3[[#This Row],[% Avance ejecutado]]-Tabla3[[#This Row],[% Avance Planificado]]/Tabla3[[#This Row],[% Avance Planificado]]</f>
        <v>0</v>
      </c>
      <c r="AD20" s="55" t="s">
        <v>117</v>
      </c>
      <c r="AE20" s="79" t="s">
        <v>176</v>
      </c>
    </row>
    <row r="21" spans="1:31" ht="49.9" hidden="1" customHeight="1">
      <c r="A21" s="75">
        <v>19</v>
      </c>
      <c r="B21" s="376" t="s">
        <v>125</v>
      </c>
      <c r="C21" s="58" t="s">
        <v>177</v>
      </c>
      <c r="D21" s="58"/>
      <c r="E21" s="55" t="s">
        <v>113</v>
      </c>
      <c r="F21" s="55" t="s">
        <v>36</v>
      </c>
      <c r="G21" s="55" t="s">
        <v>36</v>
      </c>
      <c r="H21" s="55" t="s">
        <v>37</v>
      </c>
      <c r="I21" s="77">
        <v>28478865.600000001</v>
      </c>
      <c r="J21" s="77">
        <f>Tabla3[[#This Row],[Presupuesto asignado]]/2</f>
        <v>14239432.800000001</v>
      </c>
      <c r="K21" s="77">
        <f>Tabla3[[#This Row],[Valor Ganado (EV)]]</f>
        <v>14239432.800000001</v>
      </c>
      <c r="L21" s="77">
        <f>Tabla3[[#This Row],[Valor Ganado (EV)]]/Tabla3[[#This Row],[Costo Actual (AC)]]</f>
        <v>1</v>
      </c>
      <c r="M21" s="76">
        <v>45271</v>
      </c>
      <c r="N21" s="55" t="s">
        <v>178</v>
      </c>
      <c r="O21" s="55" t="s">
        <v>97</v>
      </c>
      <c r="P21" s="55"/>
      <c r="Q21" s="55" t="s">
        <v>179</v>
      </c>
      <c r="R21" s="55" t="s">
        <v>179</v>
      </c>
      <c r="S21" s="55"/>
      <c r="T21" s="75" t="s">
        <v>41</v>
      </c>
      <c r="U21" s="95" t="s">
        <v>42</v>
      </c>
      <c r="V21" s="55" t="s">
        <v>180</v>
      </c>
      <c r="W21" s="55" t="s">
        <v>42</v>
      </c>
      <c r="X21" s="55" t="s">
        <v>175</v>
      </c>
      <c r="Y21" s="76"/>
      <c r="Z21" s="76"/>
      <c r="AA21" s="78">
        <v>0</v>
      </c>
      <c r="AB21" s="78">
        <v>0</v>
      </c>
      <c r="AC21" s="86" t="e">
        <f>Tabla3[[#This Row],[% Avance ejecutado]]-Tabla3[[#This Row],[% Avance Planificado]]/Tabla3[[#This Row],[% Avance Planificado]]</f>
        <v>#DIV/0!</v>
      </c>
      <c r="AD21" s="283" t="s">
        <v>117</v>
      </c>
      <c r="AE21" s="285" t="s">
        <v>181</v>
      </c>
    </row>
    <row r="22" spans="1:31" ht="49.9" hidden="1" customHeight="1">
      <c r="A22" s="75">
        <v>20</v>
      </c>
      <c r="B22" s="376" t="s">
        <v>125</v>
      </c>
      <c r="C22" s="58" t="s">
        <v>182</v>
      </c>
      <c r="D22" s="58" t="s">
        <v>183</v>
      </c>
      <c r="E22" s="55" t="s">
        <v>113</v>
      </c>
      <c r="F22" s="55" t="s">
        <v>184</v>
      </c>
      <c r="G22" s="55" t="s">
        <v>185</v>
      </c>
      <c r="H22" s="55" t="s">
        <v>37</v>
      </c>
      <c r="I22" s="77">
        <v>2007994.2</v>
      </c>
      <c r="J22" s="77">
        <f>Tabla3[[#This Row],[Presupuesto asignado]]/2</f>
        <v>1003997.1</v>
      </c>
      <c r="K22" s="77">
        <f>Tabla3[[#This Row],[Valor Ganado (EV)]]</f>
        <v>1003997.1</v>
      </c>
      <c r="L22" s="77">
        <f>Tabla3[[#This Row],[Valor Ganado (EV)]]/Tabla3[[#This Row],[Costo Actual (AC)]]</f>
        <v>1</v>
      </c>
      <c r="M22" s="76">
        <v>45271</v>
      </c>
      <c r="N22" s="55" t="s">
        <v>178</v>
      </c>
      <c r="O22" s="55" t="s">
        <v>97</v>
      </c>
      <c r="P22" s="55" t="s">
        <v>40</v>
      </c>
      <c r="Q22" s="55">
        <v>2023</v>
      </c>
      <c r="R22" s="55">
        <v>2024</v>
      </c>
      <c r="S22" s="55"/>
      <c r="T22" s="75" t="s">
        <v>41</v>
      </c>
      <c r="U22" s="95" t="s">
        <v>41</v>
      </c>
      <c r="V22" s="55" t="s">
        <v>186</v>
      </c>
      <c r="W22" s="55" t="s">
        <v>42</v>
      </c>
      <c r="X22" s="55" t="s">
        <v>187</v>
      </c>
      <c r="Y22" s="76">
        <v>45271</v>
      </c>
      <c r="Z22" s="76">
        <v>45412</v>
      </c>
      <c r="AA22" s="78">
        <v>1</v>
      </c>
      <c r="AB22" s="78">
        <v>1</v>
      </c>
      <c r="AC22" s="86">
        <f>Tabla3[[#This Row],[% Avance ejecutado]]-Tabla3[[#This Row],[% Avance Planificado]]/Tabla3[[#This Row],[% Avance Planificado]]</f>
        <v>0</v>
      </c>
      <c r="AD22" s="55" t="s">
        <v>117</v>
      </c>
      <c r="AE22" s="79" t="s">
        <v>188</v>
      </c>
    </row>
    <row r="23" spans="1:31" ht="49.9" hidden="1" customHeight="1">
      <c r="A23" s="75">
        <v>21</v>
      </c>
      <c r="B23" s="376" t="s">
        <v>125</v>
      </c>
      <c r="C23" s="58" t="s">
        <v>189</v>
      </c>
      <c r="D23" s="58" t="s">
        <v>190</v>
      </c>
      <c r="E23" s="55" t="s">
        <v>113</v>
      </c>
      <c r="F23" s="55" t="s">
        <v>184</v>
      </c>
      <c r="G23" s="55" t="s">
        <v>185</v>
      </c>
      <c r="H23" s="55" t="s">
        <v>37</v>
      </c>
      <c r="I23" s="77">
        <v>10992000</v>
      </c>
      <c r="J23" s="77">
        <f>Tabla3[[#This Row],[Presupuesto asignado]]/2</f>
        <v>5496000</v>
      </c>
      <c r="K23" s="77">
        <f>Tabla3[[#This Row],[Valor Ganado (EV)]]</f>
        <v>5496000</v>
      </c>
      <c r="L23" s="77">
        <f>Tabla3[[#This Row],[Valor Ganado (EV)]]/Tabla3[[#This Row],[Costo Actual (AC)]]</f>
        <v>1</v>
      </c>
      <c r="M23" s="76">
        <v>45271</v>
      </c>
      <c r="N23" s="55" t="s">
        <v>178</v>
      </c>
      <c r="O23" s="55" t="s">
        <v>97</v>
      </c>
      <c r="P23" s="55" t="s">
        <v>40</v>
      </c>
      <c r="Q23" s="55">
        <v>2023</v>
      </c>
      <c r="R23" s="55">
        <v>2024</v>
      </c>
      <c r="S23" s="55"/>
      <c r="T23" s="75" t="s">
        <v>41</v>
      </c>
      <c r="U23" s="95" t="s">
        <v>41</v>
      </c>
      <c r="V23" s="55" t="s">
        <v>191</v>
      </c>
      <c r="W23" s="55" t="s">
        <v>42</v>
      </c>
      <c r="X23" s="55" t="s">
        <v>187</v>
      </c>
      <c r="Y23" s="76">
        <v>45271</v>
      </c>
      <c r="Z23" s="76">
        <v>45471</v>
      </c>
      <c r="AA23" s="78">
        <v>1</v>
      </c>
      <c r="AB23" s="78">
        <v>1</v>
      </c>
      <c r="AC23" s="86">
        <f>Tabla3[[#This Row],[% Avance ejecutado]]-Tabla3[[#This Row],[% Avance Planificado]]/Tabla3[[#This Row],[% Avance Planificado]]</f>
        <v>0</v>
      </c>
      <c r="AD23" s="55" t="s">
        <v>117</v>
      </c>
      <c r="AE23" s="79" t="s">
        <v>192</v>
      </c>
    </row>
    <row r="24" spans="1:31" ht="49.9" hidden="1" customHeight="1">
      <c r="A24" s="75">
        <v>22</v>
      </c>
      <c r="B24" s="376" t="s">
        <v>125</v>
      </c>
      <c r="C24" s="58" t="s">
        <v>193</v>
      </c>
      <c r="D24" s="58" t="s">
        <v>194</v>
      </c>
      <c r="E24" s="55" t="s">
        <v>113</v>
      </c>
      <c r="F24" s="55" t="s">
        <v>184</v>
      </c>
      <c r="G24" s="55" t="s">
        <v>185</v>
      </c>
      <c r="H24" s="55" t="s">
        <v>37</v>
      </c>
      <c r="I24" s="77">
        <v>41200</v>
      </c>
      <c r="J24" s="77">
        <f>Tabla3[[#This Row],[Presupuesto asignado]]/2</f>
        <v>20600</v>
      </c>
      <c r="K24" s="77">
        <f>Tabla3[[#This Row],[Valor Ganado (EV)]]</f>
        <v>20600</v>
      </c>
      <c r="L24" s="77">
        <f>Tabla3[[#This Row],[Valor Ganado (EV)]]/Tabla3[[#This Row],[Costo Actual (AC)]]</f>
        <v>1</v>
      </c>
      <c r="M24" s="76">
        <v>45271</v>
      </c>
      <c r="N24" s="55" t="s">
        <v>178</v>
      </c>
      <c r="O24" s="55" t="s">
        <v>97</v>
      </c>
      <c r="P24" s="55" t="s">
        <v>40</v>
      </c>
      <c r="Q24" s="55">
        <v>2023</v>
      </c>
      <c r="R24" s="55">
        <v>2024</v>
      </c>
      <c r="S24" s="55"/>
      <c r="T24" s="75" t="s">
        <v>41</v>
      </c>
      <c r="U24" s="95" t="s">
        <v>41</v>
      </c>
      <c r="V24" s="55" t="s">
        <v>195</v>
      </c>
      <c r="W24" s="55" t="s">
        <v>42</v>
      </c>
      <c r="X24" s="55" t="s">
        <v>187</v>
      </c>
      <c r="Y24" s="76">
        <v>45271</v>
      </c>
      <c r="Z24" s="76">
        <v>45645</v>
      </c>
      <c r="AA24" s="78">
        <v>1</v>
      </c>
      <c r="AB24" s="78">
        <v>1</v>
      </c>
      <c r="AC24" s="86">
        <f>Tabla3[[#This Row],[% Avance ejecutado]]-Tabla3[[#This Row],[% Avance Planificado]]/Tabla3[[#This Row],[% Avance Planificado]]</f>
        <v>0</v>
      </c>
      <c r="AD24" s="55" t="s">
        <v>117</v>
      </c>
      <c r="AE24" s="79" t="s">
        <v>196</v>
      </c>
    </row>
    <row r="25" spans="1:31" ht="49.9" hidden="1" customHeight="1">
      <c r="A25" s="75">
        <v>23</v>
      </c>
      <c r="B25" s="376" t="s">
        <v>125</v>
      </c>
      <c r="C25" s="58" t="s">
        <v>197</v>
      </c>
      <c r="D25" s="58" t="s">
        <v>198</v>
      </c>
      <c r="E25" s="55" t="s">
        <v>113</v>
      </c>
      <c r="F25" s="55" t="s">
        <v>184</v>
      </c>
      <c r="G25" s="55" t="s">
        <v>185</v>
      </c>
      <c r="H25" s="55" t="s">
        <v>37</v>
      </c>
      <c r="I25" s="77">
        <v>40900</v>
      </c>
      <c r="J25" s="77">
        <f>Tabla3[[#This Row],[Presupuesto asignado]]/2</f>
        <v>20450</v>
      </c>
      <c r="K25" s="77">
        <f>Tabla3[[#This Row],[Valor Ganado (EV)]]</f>
        <v>20450</v>
      </c>
      <c r="L25" s="77">
        <f>Tabla3[[#This Row],[Valor Ganado (EV)]]/Tabla3[[#This Row],[Costo Actual (AC)]]</f>
        <v>1</v>
      </c>
      <c r="M25" s="76">
        <v>45271</v>
      </c>
      <c r="N25" s="55" t="s">
        <v>178</v>
      </c>
      <c r="O25" s="55" t="s">
        <v>97</v>
      </c>
      <c r="P25" s="55" t="s">
        <v>40</v>
      </c>
      <c r="Q25" s="55">
        <v>2023</v>
      </c>
      <c r="R25" s="55">
        <v>2024</v>
      </c>
      <c r="S25" s="55"/>
      <c r="T25" s="75" t="s">
        <v>41</v>
      </c>
      <c r="U25" s="95" t="s">
        <v>41</v>
      </c>
      <c r="V25" s="55" t="s">
        <v>199</v>
      </c>
      <c r="W25" s="55" t="s">
        <v>42</v>
      </c>
      <c r="X25" s="55" t="s">
        <v>187</v>
      </c>
      <c r="Y25" s="76">
        <v>45271</v>
      </c>
      <c r="Z25" s="76">
        <v>45376</v>
      </c>
      <c r="AA25" s="78">
        <v>1</v>
      </c>
      <c r="AB25" s="78">
        <v>1</v>
      </c>
      <c r="AC25" s="86">
        <f>Tabla3[[#This Row],[% Avance ejecutado]]-Tabla3[[#This Row],[% Avance Planificado]]/Tabla3[[#This Row],[% Avance Planificado]]</f>
        <v>0</v>
      </c>
      <c r="AD25" s="55" t="s">
        <v>117</v>
      </c>
      <c r="AE25" s="79" t="s">
        <v>200</v>
      </c>
    </row>
    <row r="26" spans="1:31" ht="49.9" hidden="1" customHeight="1">
      <c r="A26" s="75">
        <v>24</v>
      </c>
      <c r="B26" s="376" t="s">
        <v>125</v>
      </c>
      <c r="C26" s="58" t="s">
        <v>201</v>
      </c>
      <c r="D26" s="58"/>
      <c r="E26" s="55" t="s">
        <v>202</v>
      </c>
      <c r="F26" s="55"/>
      <c r="G26" s="55" t="s">
        <v>36</v>
      </c>
      <c r="H26" s="55"/>
      <c r="I26" s="77">
        <v>0</v>
      </c>
      <c r="J26" s="77">
        <f>Tabla3[[#This Row],[Presupuesto asignado]]/2</f>
        <v>0</v>
      </c>
      <c r="K26" s="77">
        <f>Tabla3[[#This Row],[Valor Ganado (EV)]]</f>
        <v>0</v>
      </c>
      <c r="L26" s="77" t="e">
        <f>Tabla3[[#This Row],[Valor Ganado (EV)]]/Tabla3[[#This Row],[Costo Actual (AC)]]</f>
        <v>#DIV/0!</v>
      </c>
      <c r="M26" s="76"/>
      <c r="N26" s="55"/>
      <c r="O26" s="55" t="s">
        <v>39</v>
      </c>
      <c r="P26" s="55" t="s">
        <v>40</v>
      </c>
      <c r="Q26" s="55" t="s">
        <v>179</v>
      </c>
      <c r="R26" s="55" t="s">
        <v>179</v>
      </c>
      <c r="S26" s="55"/>
      <c r="T26" s="75" t="s">
        <v>42</v>
      </c>
      <c r="U26" s="75" t="s">
        <v>42</v>
      </c>
      <c r="V26" s="55" t="s">
        <v>203</v>
      </c>
      <c r="W26" s="55" t="s">
        <v>175</v>
      </c>
      <c r="X26" s="55" t="s">
        <v>175</v>
      </c>
      <c r="Y26" s="76"/>
      <c r="Z26" s="76"/>
      <c r="AA26" s="78">
        <v>0</v>
      </c>
      <c r="AB26" s="78">
        <v>0</v>
      </c>
      <c r="AC26" s="86" t="e">
        <f>Tabla3[[#This Row],[% Avance ejecutado]]-Tabla3[[#This Row],[% Avance Planificado]]/Tabla3[[#This Row],[% Avance Planificado]]</f>
        <v>#DIV/0!</v>
      </c>
      <c r="AD26" s="283" t="s">
        <v>204</v>
      </c>
      <c r="AE26" s="285" t="s">
        <v>205</v>
      </c>
    </row>
    <row r="27" spans="1:31" ht="49.9" hidden="1" customHeight="1">
      <c r="A27" s="75">
        <v>25</v>
      </c>
      <c r="B27" s="376" t="s">
        <v>125</v>
      </c>
      <c r="C27" s="58" t="s">
        <v>206</v>
      </c>
      <c r="D27" s="58"/>
      <c r="E27" s="55" t="s">
        <v>202</v>
      </c>
      <c r="F27" s="55"/>
      <c r="G27" s="55" t="s">
        <v>36</v>
      </c>
      <c r="H27" s="55"/>
      <c r="I27" s="77">
        <v>0</v>
      </c>
      <c r="J27" s="77">
        <f>Tabla3[[#This Row],[Presupuesto asignado]]/2</f>
        <v>0</v>
      </c>
      <c r="K27" s="77">
        <f>Tabla3[[#This Row],[Valor Ganado (EV)]]</f>
        <v>0</v>
      </c>
      <c r="L27" s="77" t="e">
        <f>Tabla3[[#This Row],[Valor Ganado (EV)]]/Tabla3[[#This Row],[Costo Actual (AC)]]</f>
        <v>#DIV/0!</v>
      </c>
      <c r="M27" s="76"/>
      <c r="N27" s="55"/>
      <c r="O27" s="55" t="s">
        <v>39</v>
      </c>
      <c r="P27" s="55" t="s">
        <v>40</v>
      </c>
      <c r="Q27" s="55" t="s">
        <v>179</v>
      </c>
      <c r="R27" s="55" t="s">
        <v>179</v>
      </c>
      <c r="S27" s="55"/>
      <c r="T27" s="75" t="s">
        <v>42</v>
      </c>
      <c r="U27" s="75" t="s">
        <v>42</v>
      </c>
      <c r="V27" s="55" t="s">
        <v>207</v>
      </c>
      <c r="W27" s="55" t="s">
        <v>175</v>
      </c>
      <c r="X27" s="55" t="s">
        <v>175</v>
      </c>
      <c r="Y27" s="76"/>
      <c r="Z27" s="76"/>
      <c r="AA27" s="78">
        <v>0</v>
      </c>
      <c r="AB27" s="78">
        <v>0</v>
      </c>
      <c r="AC27" s="86" t="e">
        <f>Tabla3[[#This Row],[% Avance ejecutado]]-Tabla3[[#This Row],[% Avance Planificado]]/Tabla3[[#This Row],[% Avance Planificado]]</f>
        <v>#DIV/0!</v>
      </c>
      <c r="AD27" s="283" t="s">
        <v>204</v>
      </c>
      <c r="AE27" s="285" t="s">
        <v>205</v>
      </c>
    </row>
    <row r="28" spans="1:31" ht="49.9" hidden="1" customHeight="1">
      <c r="A28" s="75">
        <v>26</v>
      </c>
      <c r="B28" s="376" t="s">
        <v>125</v>
      </c>
      <c r="C28" s="58" t="s">
        <v>208</v>
      </c>
      <c r="D28" s="58"/>
      <c r="E28" s="55" t="s">
        <v>202</v>
      </c>
      <c r="F28" s="55" t="s">
        <v>209</v>
      </c>
      <c r="G28" s="55" t="s">
        <v>36</v>
      </c>
      <c r="H28" s="55" t="s">
        <v>37</v>
      </c>
      <c r="I28" s="77">
        <v>0</v>
      </c>
      <c r="J28" s="77">
        <f>Tabla3[[#This Row],[Presupuesto asignado]]/2</f>
        <v>0</v>
      </c>
      <c r="K28" s="77">
        <f>Tabla3[[#This Row],[Valor Ganado (EV)]]</f>
        <v>0</v>
      </c>
      <c r="L28" s="77" t="e">
        <f>Tabla3[[#This Row],[Valor Ganado (EV)]]/Tabla3[[#This Row],[Costo Actual (AC)]]</f>
        <v>#DIV/0!</v>
      </c>
      <c r="M28" s="76">
        <v>45271</v>
      </c>
      <c r="N28" s="55" t="s">
        <v>178</v>
      </c>
      <c r="O28" s="55" t="s">
        <v>39</v>
      </c>
      <c r="P28" s="55" t="s">
        <v>40</v>
      </c>
      <c r="Q28" s="55">
        <v>2024</v>
      </c>
      <c r="R28" s="55">
        <v>2024</v>
      </c>
      <c r="S28" s="55"/>
      <c r="T28" s="75" t="s">
        <v>41</v>
      </c>
      <c r="U28" s="95" t="s">
        <v>42</v>
      </c>
      <c r="V28" s="55" t="s">
        <v>210</v>
      </c>
      <c r="W28" s="55" t="s">
        <v>70</v>
      </c>
      <c r="X28" s="55" t="s">
        <v>211</v>
      </c>
      <c r="Y28" s="76">
        <v>45294</v>
      </c>
      <c r="Z28" s="76">
        <v>45538</v>
      </c>
      <c r="AA28" s="78">
        <v>1</v>
      </c>
      <c r="AB28" s="78">
        <v>1</v>
      </c>
      <c r="AC28" s="86">
        <f>Tabla3[[#This Row],[% Avance ejecutado]]-Tabla3[[#This Row],[% Avance Planificado]]/Tabla3[[#This Row],[% Avance Planificado]]</f>
        <v>0</v>
      </c>
      <c r="AD28" s="55" t="s">
        <v>117</v>
      </c>
      <c r="AE28" s="79" t="s">
        <v>212</v>
      </c>
    </row>
    <row r="29" spans="1:31" ht="49.9" hidden="1" customHeight="1">
      <c r="A29" s="75">
        <v>27</v>
      </c>
      <c r="B29" s="376" t="s">
        <v>125</v>
      </c>
      <c r="C29" s="58" t="s">
        <v>213</v>
      </c>
      <c r="D29" s="58" t="s">
        <v>214</v>
      </c>
      <c r="E29" s="55" t="s">
        <v>164</v>
      </c>
      <c r="F29" s="55"/>
      <c r="G29" s="55" t="s">
        <v>36</v>
      </c>
      <c r="H29" s="55"/>
      <c r="I29" s="77">
        <v>100000</v>
      </c>
      <c r="J29" s="77">
        <f>Tabla3[[#This Row],[Presupuesto asignado]]/2</f>
        <v>50000</v>
      </c>
      <c r="K29" s="77">
        <f>Tabla3[[#This Row],[Valor Ganado (EV)]]</f>
        <v>50000</v>
      </c>
      <c r="L29" s="77">
        <f>Tabla3[[#This Row],[Valor Ganado (EV)]]/Tabla3[[#This Row],[Costo Actual (AC)]]</f>
        <v>1</v>
      </c>
      <c r="M29" s="76"/>
      <c r="N29" s="55"/>
      <c r="O29" s="55" t="s">
        <v>215</v>
      </c>
      <c r="P29" s="55" t="s">
        <v>98</v>
      </c>
      <c r="Q29" s="55">
        <v>2023</v>
      </c>
      <c r="R29" s="55">
        <v>2023</v>
      </c>
      <c r="S29" s="55"/>
      <c r="T29" s="75" t="s">
        <v>42</v>
      </c>
      <c r="U29" s="75" t="s">
        <v>41</v>
      </c>
      <c r="V29" s="55" t="s">
        <v>216</v>
      </c>
      <c r="W29" s="55" t="s">
        <v>175</v>
      </c>
      <c r="X29" s="55" t="s">
        <v>175</v>
      </c>
      <c r="Y29" s="76">
        <v>44958</v>
      </c>
      <c r="Z29" s="76">
        <v>45261</v>
      </c>
      <c r="AA29" s="78">
        <v>1</v>
      </c>
      <c r="AB29" s="78">
        <v>1</v>
      </c>
      <c r="AC29" s="86">
        <f>Tabla3[[#This Row],[% Avance ejecutado]]-Tabla3[[#This Row],[% Avance Planificado]]/Tabla3[[#This Row],[% Avance Planificado]]</f>
        <v>0</v>
      </c>
      <c r="AD29" s="55" t="s">
        <v>117</v>
      </c>
      <c r="AE29" s="79" t="s">
        <v>217</v>
      </c>
    </row>
    <row r="30" spans="1:31" ht="49.9" hidden="1" customHeight="1">
      <c r="A30" s="75">
        <v>28</v>
      </c>
      <c r="B30" s="376" t="s">
        <v>125</v>
      </c>
      <c r="C30" s="58" t="s">
        <v>218</v>
      </c>
      <c r="D30" s="58" t="s">
        <v>219</v>
      </c>
      <c r="E30" s="55" t="s">
        <v>220</v>
      </c>
      <c r="F30" s="55"/>
      <c r="G30" s="55" t="s">
        <v>36</v>
      </c>
      <c r="H30" s="55"/>
      <c r="I30" s="77">
        <v>985176</v>
      </c>
      <c r="J30" s="77">
        <f>Tabla3[[#This Row],[Presupuesto asignado]]/2</f>
        <v>492588</v>
      </c>
      <c r="K30" s="77">
        <f>Tabla3[[#This Row],[Valor Ganado (EV)]]</f>
        <v>492588</v>
      </c>
      <c r="L30" s="77">
        <f>Tabla3[[#This Row],[Valor Ganado (EV)]]/Tabla3[[#This Row],[Costo Actual (AC)]]</f>
        <v>1</v>
      </c>
      <c r="M30" s="76"/>
      <c r="N30" s="55"/>
      <c r="O30" s="55" t="s">
        <v>215</v>
      </c>
      <c r="P30" s="55" t="s">
        <v>98</v>
      </c>
      <c r="Q30" s="55">
        <v>2023</v>
      </c>
      <c r="R30" s="55">
        <v>2025</v>
      </c>
      <c r="S30" s="55"/>
      <c r="T30" s="75" t="s">
        <v>42</v>
      </c>
      <c r="U30" s="75" t="s">
        <v>42</v>
      </c>
      <c r="V30" s="55" t="s">
        <v>221</v>
      </c>
      <c r="W30" s="55" t="s">
        <v>175</v>
      </c>
      <c r="X30" s="55" t="s">
        <v>175</v>
      </c>
      <c r="Y30" s="76">
        <v>44928</v>
      </c>
      <c r="Z30" s="76">
        <v>45666</v>
      </c>
      <c r="AA30" s="78">
        <v>1</v>
      </c>
      <c r="AB30" s="78">
        <v>1</v>
      </c>
      <c r="AC30" s="86">
        <f>Tabla3[[#This Row],[% Avance ejecutado]]-Tabla3[[#This Row],[% Avance Planificado]]/Tabla3[[#This Row],[% Avance Planificado]]</f>
        <v>0</v>
      </c>
      <c r="AD30" s="283" t="s">
        <v>45</v>
      </c>
      <c r="AE30" s="285" t="s">
        <v>222</v>
      </c>
    </row>
    <row r="31" spans="1:31" ht="49.9" hidden="1" customHeight="1">
      <c r="A31" s="75">
        <v>29</v>
      </c>
      <c r="B31" s="376" t="s">
        <v>125</v>
      </c>
      <c r="C31" s="58" t="s">
        <v>223</v>
      </c>
      <c r="D31" s="58" t="s">
        <v>224</v>
      </c>
      <c r="E31" s="55" t="s">
        <v>113</v>
      </c>
      <c r="F31" s="55" t="s">
        <v>225</v>
      </c>
      <c r="G31" s="55" t="s">
        <v>36</v>
      </c>
      <c r="H31" s="55"/>
      <c r="I31" s="77">
        <v>119232324</v>
      </c>
      <c r="J31" s="77">
        <f>Tabla3[[#This Row],[Presupuesto asignado]]/2</f>
        <v>59616162</v>
      </c>
      <c r="K31" s="77">
        <f>Tabla3[[#This Row],[Valor Ganado (EV)]]</f>
        <v>59616162</v>
      </c>
      <c r="L31" s="77">
        <f>Tabla3[[#This Row],[Valor Ganado (EV)]]/Tabla3[[#This Row],[Costo Actual (AC)]]</f>
        <v>1</v>
      </c>
      <c r="M31" s="76"/>
      <c r="N31" s="55"/>
      <c r="O31" s="55" t="s">
        <v>97</v>
      </c>
      <c r="P31" s="55" t="s">
        <v>40</v>
      </c>
      <c r="Q31" s="55">
        <v>2023</v>
      </c>
      <c r="R31" s="55">
        <v>2023</v>
      </c>
      <c r="S31" s="55"/>
      <c r="T31" s="75" t="s">
        <v>41</v>
      </c>
      <c r="U31" s="95" t="s">
        <v>41</v>
      </c>
      <c r="V31" s="55" t="s">
        <v>226</v>
      </c>
      <c r="W31" s="55" t="s">
        <v>42</v>
      </c>
      <c r="X31" s="55" t="s">
        <v>225</v>
      </c>
      <c r="Y31" s="76">
        <v>44958</v>
      </c>
      <c r="Z31" s="76">
        <v>45230</v>
      </c>
      <c r="AA31" s="78">
        <v>1</v>
      </c>
      <c r="AB31" s="78">
        <v>1</v>
      </c>
      <c r="AC31" s="86">
        <f>Tabla3[[#This Row],[% Avance ejecutado]]-Tabla3[[#This Row],[% Avance Planificado]]/Tabla3[[#This Row],[% Avance Planificado]]</f>
        <v>0</v>
      </c>
      <c r="AD31" s="55" t="s">
        <v>117</v>
      </c>
      <c r="AE31" s="79" t="s">
        <v>227</v>
      </c>
    </row>
    <row r="32" spans="1:31" ht="49.9" hidden="1" customHeight="1">
      <c r="A32" s="75">
        <v>30</v>
      </c>
      <c r="B32" s="55" t="s">
        <v>228</v>
      </c>
      <c r="C32" s="393" t="s">
        <v>229</v>
      </c>
      <c r="D32" s="58" t="s">
        <v>230</v>
      </c>
      <c r="E32" s="55" t="s">
        <v>231</v>
      </c>
      <c r="F32" s="55" t="s">
        <v>232</v>
      </c>
      <c r="G32" s="55" t="s">
        <v>36</v>
      </c>
      <c r="H32" s="55" t="s">
        <v>96</v>
      </c>
      <c r="I32" s="77" t="s">
        <v>233</v>
      </c>
      <c r="J32" s="77"/>
      <c r="K32" s="77"/>
      <c r="L32" s="77"/>
      <c r="M32" s="76">
        <v>45271</v>
      </c>
      <c r="N32" s="55" t="s">
        <v>178</v>
      </c>
      <c r="O32" s="55" t="s">
        <v>173</v>
      </c>
      <c r="P32" s="55" t="s">
        <v>98</v>
      </c>
      <c r="Q32" s="55">
        <v>2023</v>
      </c>
      <c r="R32" s="55">
        <v>2026</v>
      </c>
      <c r="S32" s="55">
        <v>0</v>
      </c>
      <c r="T32" s="75" t="s">
        <v>42</v>
      </c>
      <c r="U32" s="75" t="s">
        <v>41</v>
      </c>
      <c r="V32" s="55" t="s">
        <v>234</v>
      </c>
      <c r="W32" s="55" t="s">
        <v>175</v>
      </c>
      <c r="X32" s="55" t="s">
        <v>175</v>
      </c>
      <c r="Y32" s="76">
        <v>45173</v>
      </c>
      <c r="Z32" s="76">
        <v>46387</v>
      </c>
      <c r="AA32" s="78">
        <v>0.87</v>
      </c>
      <c r="AB32" s="78">
        <v>0.93</v>
      </c>
      <c r="AC32" s="86">
        <f>Tabla3[[#This Row],[% Avance ejecutado]]-Tabla3[[#This Row],[% Avance Planificado]]/Tabla3[[#This Row],[% Avance Planificado]]</f>
        <v>-6.9999999999999951E-2</v>
      </c>
      <c r="AD32" s="55" t="s">
        <v>45</v>
      </c>
      <c r="AE32" s="394" t="s">
        <v>235</v>
      </c>
    </row>
    <row r="33" spans="1:31" ht="49.9" hidden="1" customHeight="1">
      <c r="A33" s="75">
        <v>31</v>
      </c>
      <c r="B33" s="56" t="s">
        <v>236</v>
      </c>
      <c r="C33" s="58" t="s">
        <v>237</v>
      </c>
      <c r="D33" s="58" t="s">
        <v>238</v>
      </c>
      <c r="E33" s="55" t="s">
        <v>113</v>
      </c>
      <c r="F33" s="283" t="s">
        <v>114</v>
      </c>
      <c r="G33" s="281" t="s">
        <v>36</v>
      </c>
      <c r="H33" s="55" t="s">
        <v>106</v>
      </c>
      <c r="I33" s="77">
        <v>0</v>
      </c>
      <c r="J33" s="77"/>
      <c r="K33" s="77"/>
      <c r="L33" s="77"/>
      <c r="M33" s="76">
        <v>45376</v>
      </c>
      <c r="N33" s="55" t="s">
        <v>239</v>
      </c>
      <c r="O33" s="55" t="s">
        <v>97</v>
      </c>
      <c r="P33" s="55" t="s">
        <v>98</v>
      </c>
      <c r="Q33" s="55">
        <v>2024</v>
      </c>
      <c r="R33" s="55">
        <v>2025</v>
      </c>
      <c r="S33" s="55"/>
      <c r="T33" s="75" t="s">
        <v>41</v>
      </c>
      <c r="U33" s="177" t="s">
        <v>70</v>
      </c>
      <c r="V33" s="55" t="s">
        <v>240</v>
      </c>
      <c r="W33" s="55" t="s">
        <v>41</v>
      </c>
      <c r="X33" s="55" t="s">
        <v>241</v>
      </c>
      <c r="Y33" s="76">
        <v>45338</v>
      </c>
      <c r="Z33" s="76">
        <v>45846</v>
      </c>
      <c r="AA33" s="78">
        <v>0.9</v>
      </c>
      <c r="AB33" s="78">
        <v>0.26</v>
      </c>
      <c r="AC33" s="86">
        <f>Tabla3[[#This Row],[% Avance ejecutado]]-Tabla3[[#This Row],[% Avance Planificado]]/Tabla3[[#This Row],[% Avance Planificado]]</f>
        <v>-0.74</v>
      </c>
      <c r="AD33" s="283" t="s">
        <v>45</v>
      </c>
      <c r="AE33" s="79" t="s">
        <v>242</v>
      </c>
    </row>
    <row r="34" spans="1:31" ht="49.9" hidden="1" customHeight="1">
      <c r="A34" s="75">
        <v>32</v>
      </c>
      <c r="B34" s="56" t="s">
        <v>243</v>
      </c>
      <c r="C34" s="393" t="s">
        <v>244</v>
      </c>
      <c r="D34" s="58" t="s">
        <v>245</v>
      </c>
      <c r="E34" s="55" t="s">
        <v>202</v>
      </c>
      <c r="F34" s="55" t="s">
        <v>246</v>
      </c>
      <c r="G34" s="281" t="s">
        <v>247</v>
      </c>
      <c r="H34" s="55" t="s">
        <v>79</v>
      </c>
      <c r="I34" s="77">
        <v>0</v>
      </c>
      <c r="J34" s="77"/>
      <c r="K34" s="77"/>
      <c r="L34" s="77"/>
      <c r="M34" s="76">
        <v>45376</v>
      </c>
      <c r="N34" s="55" t="s">
        <v>239</v>
      </c>
      <c r="O34" s="55" t="s">
        <v>248</v>
      </c>
      <c r="P34" s="55" t="s">
        <v>248</v>
      </c>
      <c r="Q34" s="55">
        <v>2024</v>
      </c>
      <c r="R34" s="55">
        <v>2025</v>
      </c>
      <c r="S34" s="55">
        <v>2</v>
      </c>
      <c r="T34" s="75" t="s">
        <v>41</v>
      </c>
      <c r="U34" s="177" t="s">
        <v>70</v>
      </c>
      <c r="V34" s="55" t="s">
        <v>244</v>
      </c>
      <c r="W34" s="55" t="s">
        <v>41</v>
      </c>
      <c r="X34" s="55" t="s">
        <v>248</v>
      </c>
      <c r="Y34" s="76">
        <v>45306</v>
      </c>
      <c r="Z34" s="76">
        <v>46018</v>
      </c>
      <c r="AA34" s="78">
        <v>0.86</v>
      </c>
      <c r="AB34" s="78">
        <v>0.84</v>
      </c>
      <c r="AC34" s="86">
        <f>Tabla3[[#This Row],[% Avance ejecutado]]-Tabla3[[#This Row],[% Avance Planificado]]/Tabla3[[#This Row],[% Avance Planificado]]</f>
        <v>-0.16000000000000003</v>
      </c>
      <c r="AD34" s="55" t="s">
        <v>45</v>
      </c>
      <c r="AE34" s="394" t="s">
        <v>249</v>
      </c>
    </row>
    <row r="35" spans="1:31" ht="80.25" hidden="1" customHeight="1">
      <c r="A35" s="75">
        <v>33</v>
      </c>
      <c r="B35" s="56" t="s">
        <v>250</v>
      </c>
      <c r="C35" s="393" t="s">
        <v>251</v>
      </c>
      <c r="D35" s="58" t="s">
        <v>252</v>
      </c>
      <c r="E35" s="55" t="s">
        <v>34</v>
      </c>
      <c r="F35" s="55" t="s">
        <v>58</v>
      </c>
      <c r="G35" s="282" t="s">
        <v>58</v>
      </c>
      <c r="H35" s="168" t="s">
        <v>253</v>
      </c>
      <c r="I35" s="77">
        <v>29429839</v>
      </c>
      <c r="J35" s="77"/>
      <c r="K35" s="77"/>
      <c r="L35" s="77"/>
      <c r="M35" s="76">
        <v>45418</v>
      </c>
      <c r="N35" s="55" t="s">
        <v>254</v>
      </c>
      <c r="O35" s="55" t="s">
        <v>39</v>
      </c>
      <c r="P35" s="55" t="s">
        <v>40</v>
      </c>
      <c r="Q35" s="55">
        <v>2023</v>
      </c>
      <c r="R35" s="55">
        <v>2026</v>
      </c>
      <c r="S35" s="55">
        <v>3</v>
      </c>
      <c r="T35" s="75" t="s">
        <v>41</v>
      </c>
      <c r="U35" s="177" t="s">
        <v>70</v>
      </c>
      <c r="V35" s="55" t="s">
        <v>255</v>
      </c>
      <c r="W35" s="55" t="s">
        <v>41</v>
      </c>
      <c r="X35" s="55" t="s">
        <v>256</v>
      </c>
      <c r="Y35" s="76">
        <v>44972</v>
      </c>
      <c r="Z35" s="76">
        <v>46508</v>
      </c>
      <c r="AA35" s="78">
        <v>0.52</v>
      </c>
      <c r="AB35" s="78">
        <v>0.36</v>
      </c>
      <c r="AC35" s="86">
        <f>Tabla3[[#This Row],[% Avance ejecutado]]-Tabla3[[#This Row],[% Avance Planificado]]/Tabla3[[#This Row],[% Avance Planificado]]</f>
        <v>-0.64</v>
      </c>
      <c r="AD35" s="55" t="s">
        <v>73</v>
      </c>
      <c r="AE35" s="394" t="s">
        <v>257</v>
      </c>
    </row>
    <row r="36" spans="1:31" ht="49.9" hidden="1" customHeight="1">
      <c r="A36" s="75">
        <v>34</v>
      </c>
      <c r="B36" s="56" t="s">
        <v>258</v>
      </c>
      <c r="C36" s="393" t="s">
        <v>259</v>
      </c>
      <c r="D36" s="58" t="s">
        <v>260</v>
      </c>
      <c r="E36" s="55" t="s">
        <v>128</v>
      </c>
      <c r="F36" s="55" t="s">
        <v>149</v>
      </c>
      <c r="G36" s="281" t="s">
        <v>261</v>
      </c>
      <c r="H36" s="55" t="s">
        <v>96</v>
      </c>
      <c r="I36" s="77">
        <v>2815186.06</v>
      </c>
      <c r="J36" s="77"/>
      <c r="K36" s="77"/>
      <c r="L36" s="77"/>
      <c r="M36" s="76">
        <v>45677</v>
      </c>
      <c r="N36" s="55" t="s">
        <v>262</v>
      </c>
      <c r="O36" s="55" t="s">
        <v>248</v>
      </c>
      <c r="P36" s="55" t="s">
        <v>248</v>
      </c>
      <c r="Q36" s="55">
        <v>2024</v>
      </c>
      <c r="R36" s="55">
        <v>2026</v>
      </c>
      <c r="S36" s="55">
        <v>2</v>
      </c>
      <c r="T36" s="75" t="s">
        <v>41</v>
      </c>
      <c r="U36" s="177" t="s">
        <v>70</v>
      </c>
      <c r="V36" s="55" t="s">
        <v>263</v>
      </c>
      <c r="W36" s="55" t="s">
        <v>41</v>
      </c>
      <c r="X36" s="55" t="s">
        <v>264</v>
      </c>
      <c r="Y36" s="76">
        <v>45446</v>
      </c>
      <c r="Z36" s="76">
        <v>46265</v>
      </c>
      <c r="AA36" s="78">
        <v>0.63</v>
      </c>
      <c r="AB36" s="78">
        <v>0.57999999999999996</v>
      </c>
      <c r="AC36" s="86">
        <f>Tabla3[[#This Row],[% Avance ejecutado]]-Tabla3[[#This Row],[% Avance Planificado]]/Tabla3[[#This Row],[% Avance Planificado]]</f>
        <v>-0.42000000000000004</v>
      </c>
      <c r="AD36" s="55" t="s">
        <v>73</v>
      </c>
      <c r="AE36" s="394" t="s">
        <v>265</v>
      </c>
    </row>
    <row r="37" spans="1:31" ht="49.9" hidden="1" customHeight="1">
      <c r="A37" s="75">
        <v>35</v>
      </c>
      <c r="B37" s="56" t="s">
        <v>266</v>
      </c>
      <c r="C37" s="393" t="s">
        <v>267</v>
      </c>
      <c r="D37" s="58" t="s">
        <v>268</v>
      </c>
      <c r="E37" s="55" t="s">
        <v>34</v>
      </c>
      <c r="F37" s="55" t="s">
        <v>86</v>
      </c>
      <c r="G37" s="281" t="s">
        <v>86</v>
      </c>
      <c r="H37" s="55" t="s">
        <v>79</v>
      </c>
      <c r="I37" s="77">
        <v>0</v>
      </c>
      <c r="J37" s="77"/>
      <c r="K37" s="77"/>
      <c r="L37" s="77"/>
      <c r="M37" s="76">
        <v>45643</v>
      </c>
      <c r="N37" s="55" t="s">
        <v>269</v>
      </c>
      <c r="O37" s="55"/>
      <c r="P37" s="55"/>
      <c r="Q37" s="55">
        <v>2024</v>
      </c>
      <c r="R37" s="55">
        <v>2025</v>
      </c>
      <c r="S37" s="55">
        <v>1</v>
      </c>
      <c r="T37" s="75" t="s">
        <v>41</v>
      </c>
      <c r="U37" s="177" t="s">
        <v>70</v>
      </c>
      <c r="V37" s="55" t="s">
        <v>270</v>
      </c>
      <c r="W37" s="55" t="s">
        <v>41</v>
      </c>
      <c r="X37" s="55" t="s">
        <v>271</v>
      </c>
      <c r="Y37" s="76">
        <v>45418</v>
      </c>
      <c r="Z37" s="76">
        <v>46018</v>
      </c>
      <c r="AA37" s="78">
        <v>1</v>
      </c>
      <c r="AB37" s="78">
        <v>1</v>
      </c>
      <c r="AC37" s="86">
        <f>Tabla3[[#This Row],[% Avance ejecutado]]-Tabla3[[#This Row],[% Avance Planificado]]/Tabla3[[#This Row],[% Avance Planificado]]</f>
        <v>0</v>
      </c>
      <c r="AD37" s="55" t="s">
        <v>73</v>
      </c>
      <c r="AE37" s="394" t="s">
        <v>272</v>
      </c>
    </row>
    <row r="38" spans="1:31" ht="49.9" hidden="1" customHeight="1">
      <c r="A38" s="75">
        <v>36</v>
      </c>
      <c r="B38" s="56" t="s">
        <v>273</v>
      </c>
      <c r="C38" s="393" t="s">
        <v>274</v>
      </c>
      <c r="D38" s="58" t="s">
        <v>275</v>
      </c>
      <c r="E38" s="55" t="s">
        <v>113</v>
      </c>
      <c r="F38" s="55" t="s">
        <v>114</v>
      </c>
      <c r="G38" s="281" t="s">
        <v>36</v>
      </c>
      <c r="H38" s="55" t="s">
        <v>67</v>
      </c>
      <c r="I38" s="77">
        <v>18108799</v>
      </c>
      <c r="J38" s="77"/>
      <c r="K38" s="77"/>
      <c r="L38" s="77"/>
      <c r="M38" s="76">
        <v>45735</v>
      </c>
      <c r="N38" s="55" t="s">
        <v>276</v>
      </c>
      <c r="O38" s="55" t="s">
        <v>97</v>
      </c>
      <c r="P38" s="55" t="s">
        <v>40</v>
      </c>
      <c r="Q38" s="55">
        <v>2023</v>
      </c>
      <c r="R38" s="55">
        <v>2025</v>
      </c>
      <c r="S38" s="55">
        <v>0</v>
      </c>
      <c r="T38" s="75" t="s">
        <v>41</v>
      </c>
      <c r="U38" s="177" t="s">
        <v>70</v>
      </c>
      <c r="V38" s="55" t="s">
        <v>277</v>
      </c>
      <c r="W38" s="55" t="s">
        <v>41</v>
      </c>
      <c r="X38" s="55" t="s">
        <v>123</v>
      </c>
      <c r="Y38" s="76">
        <v>45245</v>
      </c>
      <c r="Z38" s="76">
        <v>45912</v>
      </c>
      <c r="AA38" s="78">
        <v>1</v>
      </c>
      <c r="AB38" s="78">
        <v>1</v>
      </c>
      <c r="AC38" s="86">
        <f>Tabla3[[#This Row],[% Avance ejecutado]]-Tabla3[[#This Row],[% Avance Planificado]]/Tabla3[[#This Row],[% Avance Planificado]]</f>
        <v>0</v>
      </c>
      <c r="AD38" s="55" t="s">
        <v>117</v>
      </c>
      <c r="AE38" s="394" t="s">
        <v>278</v>
      </c>
    </row>
    <row r="39" spans="1:31" ht="49.9" customHeight="1">
      <c r="A39" s="75">
        <v>37</v>
      </c>
      <c r="B39" s="56" t="s">
        <v>279</v>
      </c>
      <c r="C39" s="393" t="s">
        <v>280</v>
      </c>
      <c r="D39" s="58" t="s">
        <v>281</v>
      </c>
      <c r="E39" s="55" t="s">
        <v>282</v>
      </c>
      <c r="F39" s="55" t="s">
        <v>283</v>
      </c>
      <c r="G39" s="281" t="s">
        <v>36</v>
      </c>
      <c r="H39" s="55" t="s">
        <v>106</v>
      </c>
      <c r="I39" s="77">
        <v>246066263</v>
      </c>
      <c r="J39" s="77"/>
      <c r="K39" s="77"/>
      <c r="L39" s="77"/>
      <c r="M39" s="76">
        <v>45677</v>
      </c>
      <c r="N39" s="55" t="s">
        <v>262</v>
      </c>
      <c r="O39" s="55"/>
      <c r="P39" s="55"/>
      <c r="Q39" s="55">
        <v>2025</v>
      </c>
      <c r="R39" s="55">
        <v>2030</v>
      </c>
      <c r="S39" s="55">
        <v>0</v>
      </c>
      <c r="T39" s="75" t="s">
        <v>41</v>
      </c>
      <c r="U39" s="89" t="s">
        <v>42</v>
      </c>
      <c r="V39" s="55" t="s">
        <v>284</v>
      </c>
      <c r="W39" s="108" t="s">
        <v>42</v>
      </c>
      <c r="X39" s="55" t="s">
        <v>66</v>
      </c>
      <c r="Y39" s="76">
        <v>45839</v>
      </c>
      <c r="Z39" s="76">
        <v>47484</v>
      </c>
      <c r="AA39" s="78">
        <v>0.09</v>
      </c>
      <c r="AB39" s="78">
        <v>0.06</v>
      </c>
      <c r="AC39" s="86">
        <f>Tabla3[[#This Row],[% Avance ejecutado]]-Tabla3[[#This Row],[% Avance Planificado]]/Tabla3[[#This Row],[% Avance Planificado]]</f>
        <v>-0.94</v>
      </c>
      <c r="AD39" s="55" t="s">
        <v>73</v>
      </c>
      <c r="AE39" s="394" t="s">
        <v>285</v>
      </c>
    </row>
    <row r="40" spans="1:31" ht="49.9" hidden="1" customHeight="1">
      <c r="A40" s="75">
        <v>38</v>
      </c>
      <c r="B40" s="56" t="s">
        <v>286</v>
      </c>
      <c r="C40" s="187" t="s">
        <v>287</v>
      </c>
      <c r="D40" s="58" t="s">
        <v>288</v>
      </c>
      <c r="E40" s="55" t="s">
        <v>128</v>
      </c>
      <c r="F40" s="55" t="s">
        <v>149</v>
      </c>
      <c r="G40" s="281" t="s">
        <v>261</v>
      </c>
      <c r="H40" s="55" t="s">
        <v>96</v>
      </c>
      <c r="I40" s="77">
        <v>0</v>
      </c>
      <c r="J40" s="77"/>
      <c r="K40" s="77"/>
      <c r="L40" s="77"/>
      <c r="M40" s="76">
        <v>45735</v>
      </c>
      <c r="N40" s="55" t="s">
        <v>276</v>
      </c>
      <c r="O40" s="55" t="s">
        <v>130</v>
      </c>
      <c r="P40" s="55" t="s">
        <v>40</v>
      </c>
      <c r="Q40" s="55">
        <v>2025</v>
      </c>
      <c r="R40" s="55">
        <v>2025</v>
      </c>
      <c r="S40" s="55">
        <v>0</v>
      </c>
      <c r="T40" s="75" t="s">
        <v>41</v>
      </c>
      <c r="U40" s="177" t="s">
        <v>70</v>
      </c>
      <c r="V40" s="55" t="s">
        <v>289</v>
      </c>
      <c r="W40" s="55" t="s">
        <v>41</v>
      </c>
      <c r="X40" s="55" t="s">
        <v>290</v>
      </c>
      <c r="Y40" s="76">
        <v>45689</v>
      </c>
      <c r="Z40" s="76">
        <v>45992</v>
      </c>
      <c r="AA40" s="78">
        <v>0.57999999999999996</v>
      </c>
      <c r="AB40" s="78">
        <v>0.45</v>
      </c>
      <c r="AC40" s="86">
        <f>Tabla3[[#This Row],[% Avance ejecutado]]-Tabla3[[#This Row],[% Avance Planificado]]/Tabla3[[#This Row],[% Avance Planificado]]</f>
        <v>-0.55000000000000004</v>
      </c>
      <c r="AD40" s="283" t="s">
        <v>45</v>
      </c>
      <c r="AE40" s="453" t="s">
        <v>291</v>
      </c>
    </row>
    <row r="41" spans="1:31" ht="49.9" hidden="1" customHeight="1">
      <c r="A41" s="75">
        <v>39</v>
      </c>
      <c r="B41" s="55" t="s">
        <v>31</v>
      </c>
      <c r="C41" s="58" t="s">
        <v>292</v>
      </c>
      <c r="D41" s="58" t="s">
        <v>293</v>
      </c>
      <c r="E41" s="55" t="s">
        <v>202</v>
      </c>
      <c r="F41" s="55" t="s">
        <v>246</v>
      </c>
      <c r="G41" s="55" t="s">
        <v>294</v>
      </c>
      <c r="H41" s="55" t="s">
        <v>79</v>
      </c>
      <c r="I41" s="77">
        <v>558200</v>
      </c>
      <c r="J41" s="77">
        <f>Tabla3[[#This Row],[Presupuesto asignado]]/2</f>
        <v>279100</v>
      </c>
      <c r="K41" s="77">
        <f>Tabla3[[#This Row],[Valor Ganado (EV)]]</f>
        <v>279100</v>
      </c>
      <c r="L41" s="77">
        <f>Tabla3[[#This Row],[Valor Ganado (EV)]]/Tabla3[[#This Row],[Costo Actual (AC)]]</f>
        <v>1</v>
      </c>
      <c r="M41" s="76">
        <v>45818</v>
      </c>
      <c r="N41" s="55" t="s">
        <v>295</v>
      </c>
      <c r="O41" s="55"/>
      <c r="P41" s="55"/>
      <c r="Q41" s="55">
        <v>2025</v>
      </c>
      <c r="R41" s="55">
        <v>2026</v>
      </c>
      <c r="S41" s="55">
        <v>0</v>
      </c>
      <c r="T41" s="75" t="s">
        <v>42</v>
      </c>
      <c r="U41" s="95" t="s">
        <v>70</v>
      </c>
      <c r="V41" s="55" t="s">
        <v>296</v>
      </c>
      <c r="W41" s="55" t="s">
        <v>42</v>
      </c>
      <c r="X41" s="55" t="s">
        <v>37</v>
      </c>
      <c r="Y41" s="76"/>
      <c r="Z41" s="76"/>
      <c r="AA41" s="78">
        <v>0</v>
      </c>
      <c r="AB41" s="78">
        <v>0</v>
      </c>
      <c r="AC41" s="86" t="e">
        <f>Tabla3[[#This Row],[% Avance ejecutado]]-Tabla3[[#This Row],[% Avance Planificado]]/Tabla3[[#This Row],[% Avance Planificado]]</f>
        <v>#DIV/0!</v>
      </c>
      <c r="AD41" s="55" t="s">
        <v>297</v>
      </c>
      <c r="AE41" s="370" t="s">
        <v>298</v>
      </c>
    </row>
    <row r="42" spans="1:31" ht="49.9" hidden="1" customHeight="1">
      <c r="A42" s="89">
        <v>40</v>
      </c>
      <c r="B42" s="392" t="s">
        <v>299</v>
      </c>
      <c r="C42" s="395" t="s">
        <v>300</v>
      </c>
      <c r="D42" s="244" t="s">
        <v>301</v>
      </c>
      <c r="E42" s="59" t="s">
        <v>220</v>
      </c>
      <c r="F42" s="59" t="s">
        <v>302</v>
      </c>
      <c r="G42" s="59" t="s">
        <v>36</v>
      </c>
      <c r="H42" s="59" t="s">
        <v>79</v>
      </c>
      <c r="I42" s="90">
        <v>0</v>
      </c>
      <c r="J42" s="90">
        <f>Tabla3[[#This Row],[Presupuesto asignado]]/2</f>
        <v>0</v>
      </c>
      <c r="K42" s="90">
        <f>Tabla3[[#This Row],[Valor Ganado (EV)]]</f>
        <v>0</v>
      </c>
      <c r="L42" s="90" t="e">
        <f>Tabla3[[#This Row],[Valor Ganado (EV)]]/Tabla3[[#This Row],[Costo Actual (AC)]]</f>
        <v>#DIV/0!</v>
      </c>
      <c r="M42" s="91">
        <v>45883</v>
      </c>
      <c r="N42" s="396" t="s">
        <v>303</v>
      </c>
      <c r="O42" s="59"/>
      <c r="P42" s="59"/>
      <c r="Q42" s="59">
        <v>2025</v>
      </c>
      <c r="R42" s="59">
        <v>2026</v>
      </c>
      <c r="S42" s="59">
        <v>0</v>
      </c>
      <c r="T42" s="59" t="s">
        <v>41</v>
      </c>
      <c r="U42" s="89" t="s">
        <v>42</v>
      </c>
      <c r="V42" s="59" t="s">
        <v>304</v>
      </c>
      <c r="W42" s="59" t="s">
        <v>42</v>
      </c>
      <c r="X42" s="59" t="s">
        <v>139</v>
      </c>
      <c r="Y42" s="91">
        <v>45717</v>
      </c>
      <c r="Z42" s="91">
        <v>46204</v>
      </c>
      <c r="AA42" s="92">
        <v>0.6</v>
      </c>
      <c r="AB42" s="92">
        <v>0.26</v>
      </c>
      <c r="AC42" s="93">
        <f>Tabla3[[#This Row],[% Avance ejecutado]]-Tabla3[[#This Row],[% Avance Planificado]]/Tabla3[[#This Row],[% Avance Planificado]]</f>
        <v>-0.74</v>
      </c>
      <c r="AD42" s="55" t="s">
        <v>45</v>
      </c>
      <c r="AE42" s="463" t="s">
        <v>305</v>
      </c>
    </row>
    <row r="43" spans="1:31" ht="49.9" hidden="1" customHeight="1">
      <c r="A43" s="89">
        <v>41</v>
      </c>
      <c r="B43" s="59" t="s">
        <v>31</v>
      </c>
      <c r="C43" s="244" t="s">
        <v>306</v>
      </c>
      <c r="D43" s="244"/>
      <c r="E43" s="59"/>
      <c r="F43" s="59"/>
      <c r="G43" s="59"/>
      <c r="H43" s="59"/>
      <c r="I43" s="90"/>
      <c r="J43" s="90">
        <f>Tabla3[[#This Row],[Presupuesto asignado]]/2</f>
        <v>0</v>
      </c>
      <c r="K43" s="90">
        <f>Tabla3[[#This Row],[Valor Ganado (EV)]]</f>
        <v>0</v>
      </c>
      <c r="L43" s="90" t="e">
        <f>Tabla3[[#This Row],[Valor Ganado (EV)]]/Tabla3[[#This Row],[Costo Actual (AC)]]</f>
        <v>#DIV/0!</v>
      </c>
      <c r="M43" s="91"/>
      <c r="N43" s="91"/>
      <c r="O43" s="59"/>
      <c r="P43" s="59"/>
      <c r="Q43" s="59"/>
      <c r="R43" s="59"/>
      <c r="S43" s="59"/>
      <c r="T43" s="59"/>
      <c r="U43" s="89"/>
      <c r="V43" s="59" t="s">
        <v>307</v>
      </c>
      <c r="W43" s="59"/>
      <c r="X43" s="59"/>
      <c r="Y43" s="91"/>
      <c r="Z43" s="91"/>
      <c r="AA43" s="92">
        <v>0</v>
      </c>
      <c r="AB43" s="92">
        <v>0</v>
      </c>
      <c r="AC43" s="92" t="e">
        <f>Tabla3[[#This Row],[% Avance ejecutado]]-Tabla3[[#This Row],[% Avance Planificado]]/Tabla3[[#This Row],[% Avance Planificado]]</f>
        <v>#DIV/0!</v>
      </c>
      <c r="AD43" s="59" t="s">
        <v>297</v>
      </c>
      <c r="AE43" s="371" t="s">
        <v>308</v>
      </c>
    </row>
  </sheetData>
  <conditionalFormatting sqref="AC25">
    <cfRule type="iconSet" priority="24">
      <iconSet>
        <cfvo type="percent" val="0"/>
        <cfvo type="percent" val="15"/>
        <cfvo type="percent" val="85"/>
      </iconSet>
    </cfRule>
  </conditionalFormatting>
  <conditionalFormatting sqref="AC26:AC41 AC3:AC24">
    <cfRule type="iconSet" priority="36">
      <iconSet>
        <cfvo type="percent" val="0"/>
        <cfvo type="percent" val="15"/>
        <cfvo type="percent" val="85"/>
      </iconSet>
    </cfRule>
  </conditionalFormatting>
  <dataValidations count="1">
    <dataValidation type="list" allowBlank="1" showInputMessage="1" showErrorMessage="1" sqref="AD3:AD43" xr:uid="{DD854E30-EA5E-4E84-8181-687319B6D826}">
      <formula1>"01. No Iniciado, 02. En Curso, 03. Implementado, 04. Cerrado, 05. Descartado, 06. Paralizado"</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8" id="{BD2FD1FB-90AE-4F67-A921-96548328AB12}">
            <x14:iconSet iconSet="3Arrows" custom="1">
              <x14:cfvo type="percent">
                <xm:f>0</xm:f>
              </x14:cfvo>
              <x14:cfvo type="num">
                <xm:f>0</xm:f>
              </x14:cfvo>
              <x14:cfvo type="num" gte="0">
                <xm:f>1</xm:f>
              </x14:cfvo>
              <x14:cfIcon iconSet="3Arrows" iconId="0"/>
              <x14:cfIcon iconSet="3ArrowsGray" iconId="2"/>
              <x14:cfIcon iconSet="3Arrows" iconId="2"/>
            </x14:iconSet>
          </x14:cfRule>
          <xm:sqref>L7:L8 L10:L41</xm:sqref>
        </x14:conditionalFormatting>
        <x14:conditionalFormatting xmlns:xm="http://schemas.microsoft.com/office/excel/2006/main">
          <x14:cfRule type="iconSet" priority="40" id="{DCCA26CD-819F-4BB2-834A-9DC230BE49FB}">
            <x14:iconSet iconSet="3Signs" custom="1">
              <x14:cfvo type="percent">
                <xm:f>0</xm:f>
              </x14:cfvo>
              <x14:cfvo type="formula">
                <xm:f>$L$7:$L$41="1"</xm:f>
              </x14:cfvo>
              <x14:cfvo type="formula" gte="0">
                <xm:f>$L$7:$L$41&gt;"1"</xm:f>
              </x14:cfvo>
              <x14:cfIcon iconSet="3Signs" iconId="0"/>
              <x14:cfIcon iconSet="4TrafficLights" iconId="0"/>
              <x14:cfIcon iconSet="3TrafficLights1" iconId="2"/>
            </x14:iconSet>
          </x14:cfRule>
          <xm:sqref>L9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00DA6-D8DB-4757-ABC3-3355F188CFDD}">
  <sheetPr codeName="Hoja2">
    <tabColor rgb="FFFFC000"/>
  </sheetPr>
  <dimension ref="A1:AV359"/>
  <sheetViews>
    <sheetView zoomScale="70" zoomScaleNormal="70" workbookViewId="0">
      <pane xSplit="6" ySplit="4" topLeftCell="M5" activePane="bottomRight" state="frozen"/>
      <selection pane="bottomRight" activeCell="D4" sqref="D4"/>
      <selection pane="bottomLeft"/>
      <selection pane="topRight"/>
    </sheetView>
  </sheetViews>
  <sheetFormatPr defaultColWidth="11.42578125" defaultRowHeight="15" customHeight="1"/>
  <cols>
    <col min="1" max="1" width="10.42578125" style="57" customWidth="1"/>
    <col min="2" max="2" width="15.5703125" style="109" customWidth="1"/>
    <col min="3" max="3" width="14.85546875" style="109" customWidth="1"/>
    <col min="4" max="4" width="16.42578125" style="109" customWidth="1"/>
    <col min="5" max="5" width="17.5703125" style="57" bestFit="1" customWidth="1"/>
    <col min="6" max="6" width="35" style="209" customWidth="1"/>
    <col min="7" max="7" width="38.28515625" style="209" customWidth="1"/>
    <col min="8" max="8" width="15" style="62" customWidth="1"/>
    <col min="9" max="11" width="16.42578125" style="62" customWidth="1"/>
    <col min="12" max="12" width="18.28515625" style="117" customWidth="1"/>
    <col min="13" max="13" width="22.7109375" style="109" customWidth="1"/>
    <col min="14" max="16" width="18.85546875" style="109" customWidth="1"/>
    <col min="17" max="17" width="15.42578125" style="57" customWidth="1"/>
    <col min="18" max="18" width="18.42578125" style="109" customWidth="1"/>
    <col min="19" max="19" width="25.28515625" style="109" customWidth="1"/>
    <col min="20" max="23" width="19.42578125" style="109" customWidth="1"/>
    <col min="24" max="24" width="18.7109375" customWidth="1"/>
    <col min="25" max="26" width="19.42578125" style="109" customWidth="1"/>
    <col min="27" max="27" width="16.42578125" style="109" customWidth="1"/>
    <col min="28" max="28" width="19.85546875" style="62" customWidth="1"/>
    <col min="29" max="29" width="18" style="62" customWidth="1"/>
    <col min="30" max="30" width="20.140625" style="109" customWidth="1"/>
    <col min="31" max="31" width="21" style="109" customWidth="1"/>
    <col min="32" max="32" width="14.140625" style="109" hidden="1" customWidth="1"/>
    <col min="33" max="33" width="16.42578125" style="57" hidden="1" customWidth="1"/>
    <col min="34" max="34" width="17" style="109" customWidth="1"/>
    <col min="35" max="37" width="16.5703125" style="109" customWidth="1"/>
    <col min="38" max="38" width="15.7109375" style="109" customWidth="1"/>
    <col min="39" max="41" width="11" style="109" customWidth="1"/>
    <col min="42" max="42" width="14.5703125" style="109" customWidth="1"/>
    <col min="43" max="43" width="13.7109375" style="109" customWidth="1"/>
    <col min="44" max="44" width="22" style="111" customWidth="1"/>
    <col min="45" max="45" width="19.5703125" style="109" customWidth="1"/>
    <col min="46" max="46" width="17.28515625" style="109" customWidth="1"/>
    <col min="47" max="47" width="41.28515625" style="112" customWidth="1"/>
    <col min="48" max="48" width="25" style="110" customWidth="1"/>
    <col min="49" max="16384" width="11.42578125" style="110"/>
  </cols>
  <sheetData>
    <row r="1" spans="1:48" s="199" customFormat="1" ht="18" customHeight="1">
      <c r="A1" s="518" t="s">
        <v>309</v>
      </c>
      <c r="B1" s="518"/>
      <c r="C1" s="197">
        <f>COUNT(DemandaEstrateg_[ID])</f>
        <v>111</v>
      </c>
      <c r="D1" s="334"/>
      <c r="E1" s="334"/>
      <c r="F1" s="286">
        <f ca="1">TODAY()</f>
        <v>46161</v>
      </c>
      <c r="G1" s="204"/>
      <c r="H1" s="200"/>
      <c r="I1" s="201"/>
      <c r="J1" s="201"/>
      <c r="K1" s="201"/>
      <c r="L1" s="202"/>
      <c r="M1" s="198"/>
      <c r="N1" s="198"/>
      <c r="O1" s="198"/>
      <c r="P1" s="198"/>
      <c r="Q1" s="198"/>
      <c r="R1" s="198"/>
      <c r="S1" s="198"/>
      <c r="T1" s="198"/>
      <c r="U1" s="198"/>
      <c r="V1" s="198"/>
      <c r="W1" s="198"/>
      <c r="Y1" s="198"/>
      <c r="Z1" s="198"/>
      <c r="AA1" s="198"/>
      <c r="AB1" s="201"/>
      <c r="AC1" s="201"/>
      <c r="AD1" s="198"/>
      <c r="AE1" s="198"/>
      <c r="AF1" s="198"/>
      <c r="AG1" s="198"/>
      <c r="AH1" s="198"/>
      <c r="AI1" s="198"/>
      <c r="AJ1" s="198"/>
      <c r="AK1" s="198"/>
      <c r="AL1" s="198"/>
      <c r="AM1" s="198"/>
      <c r="AN1" s="198"/>
      <c r="AO1" s="198"/>
      <c r="AP1" s="198"/>
      <c r="AQ1" s="198"/>
      <c r="AR1" s="201"/>
      <c r="AS1" s="198"/>
      <c r="AT1" s="198"/>
      <c r="AU1" s="203"/>
    </row>
    <row r="2" spans="1:48" s="196" customFormat="1" ht="26.25">
      <c r="A2" s="519" t="s">
        <v>310</v>
      </c>
      <c r="B2" s="519"/>
      <c r="C2" s="519"/>
      <c r="D2" s="519"/>
      <c r="E2" s="519"/>
      <c r="F2" s="519"/>
      <c r="G2" s="519"/>
      <c r="H2" s="519"/>
      <c r="I2" s="193"/>
      <c r="J2" s="193"/>
      <c r="K2" s="193"/>
      <c r="L2" s="194"/>
      <c r="M2" s="192"/>
      <c r="N2" s="192"/>
      <c r="O2" s="192"/>
      <c r="P2" s="192"/>
      <c r="Q2" s="192"/>
      <c r="R2" s="192"/>
      <c r="S2" s="192"/>
      <c r="T2" s="192"/>
      <c r="U2" s="192"/>
      <c r="V2" s="192"/>
      <c r="W2" s="192"/>
      <c r="X2" s="199"/>
      <c r="Y2" s="192"/>
      <c r="Z2" s="192"/>
      <c r="AA2" s="192"/>
      <c r="AB2" s="193"/>
      <c r="AC2" s="193"/>
      <c r="AD2" s="192"/>
      <c r="AE2" s="192"/>
      <c r="AF2" s="192"/>
      <c r="AG2" s="192"/>
      <c r="AH2" s="192"/>
      <c r="AI2" s="192"/>
      <c r="AJ2" s="192"/>
      <c r="AK2" s="192"/>
      <c r="AL2" s="192"/>
      <c r="AM2" s="192"/>
      <c r="AN2" s="192"/>
      <c r="AO2" s="192"/>
      <c r="AP2" s="192"/>
      <c r="AQ2" s="192"/>
      <c r="AR2" s="193"/>
      <c r="AS2" s="192"/>
      <c r="AT2" s="192"/>
      <c r="AU2" s="195"/>
    </row>
    <row r="3" spans="1:48">
      <c r="A3" s="109"/>
      <c r="E3" s="109"/>
      <c r="F3" s="112"/>
      <c r="G3" s="112"/>
      <c r="H3" s="249"/>
      <c r="I3" s="111"/>
      <c r="J3" s="111"/>
      <c r="K3" s="111"/>
      <c r="L3" s="109"/>
      <c r="Q3" s="109"/>
      <c r="X3" s="10"/>
      <c r="AB3" s="111"/>
      <c r="AC3" s="111"/>
      <c r="AG3" s="109"/>
      <c r="AK3" s="109" t="s">
        <v>311</v>
      </c>
      <c r="AL3" s="109" t="s">
        <v>311</v>
      </c>
      <c r="AM3" s="109" t="s">
        <v>311</v>
      </c>
      <c r="AN3" s="460" t="s">
        <v>312</v>
      </c>
      <c r="AO3" s="460" t="s">
        <v>312</v>
      </c>
      <c r="AV3" s="113"/>
    </row>
    <row r="4" spans="1:48" ht="42" customHeight="1">
      <c r="A4" s="88" t="s">
        <v>313</v>
      </c>
      <c r="B4" s="216" t="s">
        <v>314</v>
      </c>
      <c r="C4" s="216" t="s">
        <v>315</v>
      </c>
      <c r="D4" s="216" t="s">
        <v>316</v>
      </c>
      <c r="E4" s="88" t="s">
        <v>317</v>
      </c>
      <c r="F4" s="188" t="s">
        <v>2</v>
      </c>
      <c r="G4" s="188" t="s">
        <v>3</v>
      </c>
      <c r="H4" s="88" t="s">
        <v>4</v>
      </c>
      <c r="I4" s="88" t="s">
        <v>5</v>
      </c>
      <c r="J4" s="88" t="s">
        <v>6</v>
      </c>
      <c r="K4" s="88" t="s">
        <v>318</v>
      </c>
      <c r="L4" s="216" t="s">
        <v>319</v>
      </c>
      <c r="M4" s="216" t="s">
        <v>320</v>
      </c>
      <c r="N4" s="216" t="s">
        <v>321</v>
      </c>
      <c r="O4" s="216" t="s">
        <v>322</v>
      </c>
      <c r="P4" s="216" t="s">
        <v>323</v>
      </c>
      <c r="Q4" s="216" t="s">
        <v>324</v>
      </c>
      <c r="R4" s="216" t="s">
        <v>325</v>
      </c>
      <c r="S4" s="216" t="s">
        <v>326</v>
      </c>
      <c r="T4" s="216" t="s">
        <v>327</v>
      </c>
      <c r="U4" s="188" t="s">
        <v>16</v>
      </c>
      <c r="V4" s="188" t="s">
        <v>17</v>
      </c>
      <c r="W4" s="88" t="s">
        <v>328</v>
      </c>
      <c r="X4" s="88" t="s">
        <v>8</v>
      </c>
      <c r="Y4" s="215" t="s">
        <v>21</v>
      </c>
      <c r="Z4" s="115" t="s">
        <v>329</v>
      </c>
      <c r="AA4" s="217" t="s">
        <v>330</v>
      </c>
      <c r="AB4" s="217" t="s">
        <v>331</v>
      </c>
      <c r="AC4" s="217" t="s">
        <v>332</v>
      </c>
      <c r="AD4" s="217" t="s">
        <v>23</v>
      </c>
      <c r="AE4" s="217" t="s">
        <v>333</v>
      </c>
      <c r="AF4" s="114" t="s">
        <v>334</v>
      </c>
      <c r="AG4" s="116" t="s">
        <v>335</v>
      </c>
      <c r="AH4" s="216" t="s">
        <v>336</v>
      </c>
      <c r="AI4" s="216" t="s">
        <v>337</v>
      </c>
      <c r="AJ4" s="216" t="s">
        <v>338</v>
      </c>
      <c r="AK4" s="188" t="s">
        <v>26</v>
      </c>
      <c r="AL4" s="188" t="s">
        <v>27</v>
      </c>
      <c r="AM4" s="189" t="s">
        <v>28</v>
      </c>
      <c r="AN4" s="96" t="s">
        <v>339</v>
      </c>
      <c r="AO4" s="96" t="s">
        <v>340</v>
      </c>
      <c r="AP4" s="217" t="s">
        <v>341</v>
      </c>
      <c r="AQ4" s="217" t="s">
        <v>342</v>
      </c>
      <c r="AR4" s="318" t="s">
        <v>343</v>
      </c>
      <c r="AS4" s="217" t="s">
        <v>344</v>
      </c>
      <c r="AT4" s="217" t="s">
        <v>345</v>
      </c>
      <c r="AU4" s="217" t="s">
        <v>346</v>
      </c>
      <c r="AV4" s="213" t="s">
        <v>1</v>
      </c>
    </row>
    <row r="5" spans="1:48" ht="49.9" customHeight="1">
      <c r="A5" s="55">
        <v>442</v>
      </c>
      <c r="B5" s="424" t="s">
        <v>37</v>
      </c>
      <c r="C5" s="156" t="s">
        <v>175</v>
      </c>
      <c r="D5" s="424" t="s">
        <v>37</v>
      </c>
      <c r="E5" s="156" t="s">
        <v>347</v>
      </c>
      <c r="F5" s="236" t="str">
        <f>'Portafolio P&amp;D'!C11</f>
        <v>Implementación de la Solución tecnológica para la prevención de fraudes, lavado de activos y del financiamiento del terrorismo (LA/FT) y aplicación de scoring de riesgos de LA/FT</v>
      </c>
      <c r="G5" s="58" t="str">
        <f>'Portafolio P&amp;D'!D11</f>
        <v>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v>
      </c>
      <c r="H5" s="55" t="str">
        <f>'Portafolio P&amp;D'!E11</f>
        <v>Riesgos</v>
      </c>
      <c r="I5" s="55" t="str">
        <f>'Portafolio P&amp;D'!F11</f>
        <v>Victoria Galvez</v>
      </c>
      <c r="J5" s="55" t="str">
        <f>'Portafolio P&amp;D'!$G$11</f>
        <v>Luis Garcia; 
Liliana Casafranca</v>
      </c>
      <c r="K5" s="55" t="str">
        <f>'Portafolio P&amp;D'!H11</f>
        <v>Maria Isabel Elguera</v>
      </c>
      <c r="L5" s="148">
        <v>44805</v>
      </c>
      <c r="M5" s="149" t="s">
        <v>348</v>
      </c>
      <c r="N5" s="150" t="s">
        <v>349</v>
      </c>
      <c r="O5" s="150" t="s">
        <v>349</v>
      </c>
      <c r="P5" s="150" t="s">
        <v>349</v>
      </c>
      <c r="Q5" s="150" t="s">
        <v>350</v>
      </c>
      <c r="R5" s="150" t="s">
        <v>351</v>
      </c>
      <c r="S5" s="150" t="s">
        <v>352</v>
      </c>
      <c r="T5" s="150" t="s">
        <v>353</v>
      </c>
      <c r="U5" s="150">
        <f>'Portafolio P&amp;D'!Q11</f>
        <v>2021</v>
      </c>
      <c r="V5" s="150">
        <f>'Portafolio P&amp;D'!R11</f>
        <v>2025</v>
      </c>
      <c r="W5" s="76">
        <f>'Portafolio P&amp;D'!M11</f>
        <v>45121</v>
      </c>
      <c r="X5" s="277">
        <f>'Portafolio P&amp;D'!I11</f>
        <v>11876434.84</v>
      </c>
      <c r="Y5" s="149" t="s">
        <v>107</v>
      </c>
      <c r="Z5" s="55" t="s">
        <v>354</v>
      </c>
      <c r="AA5" s="149" t="s">
        <v>355</v>
      </c>
      <c r="AB5" s="150" t="s">
        <v>356</v>
      </c>
      <c r="AC5" s="150" t="s">
        <v>357</v>
      </c>
      <c r="AD5" s="150" t="str">
        <f>'Portafolio P&amp;D'!X11</f>
        <v>Jorge Ruiz</v>
      </c>
      <c r="AE5" s="150" t="s">
        <v>358</v>
      </c>
      <c r="AF5" s="153"/>
      <c r="AG5" s="151"/>
      <c r="AH5" s="151">
        <f>'Portafolio P&amp;D'!Y11</f>
        <v>44274</v>
      </c>
      <c r="AI5" s="154">
        <v>46142</v>
      </c>
      <c r="AJ5" s="154"/>
      <c r="AK5" s="155">
        <f>'Portafolio P&amp;D'!AA11</f>
        <v>0</v>
      </c>
      <c r="AL5" s="155">
        <f>'Portafolio P&amp;D'!AB11</f>
        <v>0</v>
      </c>
      <c r="AM5" s="278" t="e">
        <f>IF(DemandaEstrateg_[[#This Row],[Tipo de Requerimiento]]="Proyecto",(DemandaEstrateg_[[#This Row],[% Avance ejecutado]]-DemandaEstrateg_[[#This Row],[% Avance Planificado]])/DemandaEstrateg_[[#This Row],[% Avance Planificado]],"No aplica")</f>
        <v>#DIV/0!</v>
      </c>
      <c r="AN5" s="190" t="e">
        <f>IF(DemandaEstrateg_[[#This Row],[Tipo de Requerimiento]]="Proyecto",(DemandaEstrateg_[[#This Row],[% Avance ejecutado]]-DemandaEstrateg_[[#This Row],[% Avance Planificado]])/DemandaEstrateg_[[#This Row],[% Avance Planificado]],"No aplica")</f>
        <v>#DIV/0!</v>
      </c>
      <c r="AO5" s="190"/>
      <c r="AP5" s="374">
        <v>46113</v>
      </c>
      <c r="AQ5" s="191" t="s">
        <v>359</v>
      </c>
      <c r="AR5" s="191" t="s">
        <v>175</v>
      </c>
      <c r="AS5" s="319" t="s">
        <v>360</v>
      </c>
      <c r="AT5" s="152" t="str">
        <f>VLOOKUP(DemandaEstrateg_[[#This Row],[Estado TI]],Tabla12[],3,FALSE)</f>
        <v>02. En Ejecución</v>
      </c>
      <c r="AU5" s="297" t="s">
        <v>361</v>
      </c>
      <c r="AV5" s="214" t="str">
        <f>'Portafolio P&amp;D'!B11</f>
        <v>PROPLAFT-EO08-23-13</v>
      </c>
    </row>
    <row r="6" spans="1:48" s="210" customFormat="1" ht="49.9" customHeight="1" thickBot="1">
      <c r="A6" s="55">
        <v>1323</v>
      </c>
      <c r="B6" s="156" t="s">
        <v>362</v>
      </c>
      <c r="C6" s="156">
        <v>442</v>
      </c>
      <c r="D6" s="156" t="s">
        <v>363</v>
      </c>
      <c r="E6" s="55" t="s">
        <v>364</v>
      </c>
      <c r="F6" s="393" t="s">
        <v>365</v>
      </c>
      <c r="G6" s="58" t="s">
        <v>366</v>
      </c>
      <c r="H6" s="55" t="s">
        <v>367</v>
      </c>
      <c r="I6" s="55" t="s">
        <v>368</v>
      </c>
      <c r="J6" s="55" t="str">
        <f>'Portafolio P&amp;D'!$G$11</f>
        <v>Luis Garcia; 
Liliana Casafranca</v>
      </c>
      <c r="K6" s="76" t="s">
        <v>369</v>
      </c>
      <c r="L6" s="148">
        <v>45090</v>
      </c>
      <c r="M6" s="149" t="s">
        <v>370</v>
      </c>
      <c r="N6" s="150" t="s">
        <v>349</v>
      </c>
      <c r="O6" s="150" t="s">
        <v>349</v>
      </c>
      <c r="P6" s="150" t="s">
        <v>349</v>
      </c>
      <c r="Q6" s="150" t="s">
        <v>350</v>
      </c>
      <c r="R6" s="150" t="s">
        <v>351</v>
      </c>
      <c r="S6" s="150" t="s">
        <v>371</v>
      </c>
      <c r="T6" s="157" t="s">
        <v>372</v>
      </c>
      <c r="U6" s="157">
        <f>'Portafolio P&amp;D'!Q11</f>
        <v>2021</v>
      </c>
      <c r="V6" s="157">
        <f>'Portafolio P&amp;D'!R11</f>
        <v>2025</v>
      </c>
      <c r="W6" s="158">
        <v>45271</v>
      </c>
      <c r="X6" s="109" t="s">
        <v>373</v>
      </c>
      <c r="Y6" s="149" t="s">
        <v>107</v>
      </c>
      <c r="Z6" s="55" t="s">
        <v>374</v>
      </c>
      <c r="AA6" s="149" t="s">
        <v>355</v>
      </c>
      <c r="AB6" s="150" t="s">
        <v>356</v>
      </c>
      <c r="AC6" s="150" t="s">
        <v>357</v>
      </c>
      <c r="AD6" s="150" t="str">
        <f>'Portafolio P&amp;D'!X11</f>
        <v>Jorge Ruiz</v>
      </c>
      <c r="AE6" s="150" t="s">
        <v>358</v>
      </c>
      <c r="AF6" s="153"/>
      <c r="AG6" s="151"/>
      <c r="AH6" s="151">
        <v>44963</v>
      </c>
      <c r="AI6" s="247">
        <v>45838</v>
      </c>
      <c r="AJ6" s="247"/>
      <c r="AK6" s="155" t="s">
        <v>373</v>
      </c>
      <c r="AL6" s="155" t="s">
        <v>373</v>
      </c>
      <c r="AM6" s="278" t="str">
        <f>IF(DemandaEstrateg_[[#This Row],[Tipo de Requerimiento]]="Proyecto",(DemandaEstrateg_[[#This Row],[% Avance ejecutado]]-DemandaEstrateg_[[#This Row],[% Avance Planificado]])/DemandaEstrateg_[[#This Row],[% Avance Planificado]],"No aplica")</f>
        <v>No aplica</v>
      </c>
      <c r="AN6" s="278" t="str">
        <f>IF(DemandaEstrateg_[[#This Row],[Tipo de Requerimiento]]="Proyecto",(DemandaEstrateg_[[#This Row],[% Avance ejecutado]]-DemandaEstrateg_[[#This Row],[% Avance Planificado]])/DemandaEstrateg_[[#This Row],[% Avance Planificado]],"No aplica")</f>
        <v>No aplica</v>
      </c>
      <c r="AO6" s="190"/>
      <c r="AP6" s="374">
        <v>46082</v>
      </c>
      <c r="AQ6" s="321" t="s">
        <v>359</v>
      </c>
      <c r="AR6" s="321" t="s">
        <v>375</v>
      </c>
      <c r="AS6" s="150" t="str">
        <f>VLOOKUP(DemandaEstrateg_[[#This Row],[Últ. Estado CQ 14.05]],Tabla36[[Estado CQ]:[Estado TI]],3,FALSE)</f>
        <v>06. Calidad Finalizado</v>
      </c>
      <c r="AT6" s="152" t="str">
        <f>VLOOKUP(DemandaEstrateg_[[#This Row],[Estado TI]],Tabla12[],3,FALSE)</f>
        <v>02. En Ejecución</v>
      </c>
      <c r="AU6" s="230" t="s">
        <v>376</v>
      </c>
      <c r="AV6" s="205" t="s">
        <v>175</v>
      </c>
    </row>
    <row r="7" spans="1:48" ht="49.9" customHeight="1" thickBot="1">
      <c r="A7" s="55">
        <v>1741</v>
      </c>
      <c r="B7" s="150" t="s">
        <v>377</v>
      </c>
      <c r="C7" s="150">
        <v>2487</v>
      </c>
      <c r="D7" s="150" t="s">
        <v>378</v>
      </c>
      <c r="E7" s="55" t="s">
        <v>364</v>
      </c>
      <c r="F7" s="206" t="s">
        <v>379</v>
      </c>
      <c r="G7" s="58" t="s">
        <v>380</v>
      </c>
      <c r="H7" s="55" t="s">
        <v>367</v>
      </c>
      <c r="I7" s="55" t="s">
        <v>368</v>
      </c>
      <c r="J7" s="55" t="str">
        <f>'Portafolio P&amp;D'!$G$11</f>
        <v>Luis Garcia; 
Liliana Casafranca</v>
      </c>
      <c r="K7" s="76" t="s">
        <v>369</v>
      </c>
      <c r="L7" s="148">
        <v>45090</v>
      </c>
      <c r="M7" s="149" t="s">
        <v>370</v>
      </c>
      <c r="N7" s="150" t="s">
        <v>349</v>
      </c>
      <c r="O7" s="150" t="s">
        <v>349</v>
      </c>
      <c r="P7" s="150" t="s">
        <v>349</v>
      </c>
      <c r="Q7" s="150" t="s">
        <v>381</v>
      </c>
      <c r="R7" s="150" t="s">
        <v>382</v>
      </c>
      <c r="S7" s="150" t="s">
        <v>383</v>
      </c>
      <c r="T7" s="150" t="s">
        <v>384</v>
      </c>
      <c r="U7" s="150">
        <f>'Portafolio P&amp;D'!Q11</f>
        <v>2021</v>
      </c>
      <c r="V7" s="150">
        <f>'Portafolio P&amp;D'!R11</f>
        <v>2025</v>
      </c>
      <c r="W7" s="158">
        <v>45271</v>
      </c>
      <c r="X7" s="109" t="s">
        <v>373</v>
      </c>
      <c r="Y7" s="149" t="s">
        <v>107</v>
      </c>
      <c r="Z7" s="55" t="s">
        <v>374</v>
      </c>
      <c r="AA7" s="149" t="s">
        <v>355</v>
      </c>
      <c r="AB7" s="150" t="s">
        <v>356</v>
      </c>
      <c r="AC7" s="150" t="s">
        <v>357</v>
      </c>
      <c r="AD7" s="150" t="str">
        <f>'Portafolio P&amp;D'!X11</f>
        <v>Jorge Ruiz</v>
      </c>
      <c r="AE7" s="150" t="s">
        <v>385</v>
      </c>
      <c r="AF7" s="153"/>
      <c r="AG7" s="151"/>
      <c r="AH7" s="151">
        <v>45161</v>
      </c>
      <c r="AI7" s="247">
        <v>45723</v>
      </c>
      <c r="AJ7" s="247"/>
      <c r="AK7" s="155" t="s">
        <v>373</v>
      </c>
      <c r="AL7" s="155" t="s">
        <v>373</v>
      </c>
      <c r="AM7" s="278" t="str">
        <f>IF(DemandaEstrateg_[[#This Row],[Tipo de Requerimiento]]="Proyecto",(DemandaEstrateg_[[#This Row],[% Avance ejecutado]]-DemandaEstrateg_[[#This Row],[% Avance Planificado]])/DemandaEstrateg_[[#This Row],[% Avance Planificado]],"No aplica")</f>
        <v>No aplica</v>
      </c>
      <c r="AN7" s="278" t="str">
        <f>IF(DemandaEstrateg_[[#This Row],[Tipo de Requerimiento]]="Proyecto",(DemandaEstrateg_[[#This Row],[% Avance ejecutado]]-DemandaEstrateg_[[#This Row],[% Avance Planificado]])/DemandaEstrateg_[[#This Row],[% Avance Planificado]],"No aplica")</f>
        <v>No aplica</v>
      </c>
      <c r="AO7" s="190"/>
      <c r="AP7" s="374">
        <v>46023</v>
      </c>
      <c r="AQ7" s="191" t="s">
        <v>359</v>
      </c>
      <c r="AR7" s="153" t="s">
        <v>386</v>
      </c>
      <c r="AS7" s="159" t="str">
        <f>VLOOKUP(DemandaEstrateg_[[#This Row],[Últ. Estado CQ 14.05]],Tabla36[[Estado CQ]:[Estado TI]],3,FALSE)</f>
        <v>03. En Desarrollo</v>
      </c>
      <c r="AT7" s="152" t="str">
        <f>VLOOKUP(DemandaEstrateg_[[#This Row],[Estado TI]],Tabla12[],3,FALSE)</f>
        <v>02. En Ejecución</v>
      </c>
      <c r="AU7" s="231" t="s">
        <v>387</v>
      </c>
      <c r="AV7" s="205" t="s">
        <v>175</v>
      </c>
    </row>
    <row r="8" spans="1:48" ht="54" customHeight="1" thickBot="1">
      <c r="A8" s="55">
        <v>1743</v>
      </c>
      <c r="B8" s="150" t="s">
        <v>388</v>
      </c>
      <c r="C8" s="150">
        <v>2487</v>
      </c>
      <c r="D8" s="161" t="s">
        <v>389</v>
      </c>
      <c r="E8" s="55" t="s">
        <v>364</v>
      </c>
      <c r="F8" s="58" t="s">
        <v>390</v>
      </c>
      <c r="G8" s="58" t="s">
        <v>391</v>
      </c>
      <c r="H8" s="55" t="s">
        <v>367</v>
      </c>
      <c r="I8" s="55" t="s">
        <v>368</v>
      </c>
      <c r="J8" s="55" t="str">
        <f>'Portafolio P&amp;D'!$G$11</f>
        <v>Luis Garcia; 
Liliana Casafranca</v>
      </c>
      <c r="K8" s="76" t="s">
        <v>369</v>
      </c>
      <c r="L8" s="148">
        <v>45090</v>
      </c>
      <c r="M8" s="162" t="s">
        <v>370</v>
      </c>
      <c r="N8" s="150" t="s">
        <v>349</v>
      </c>
      <c r="O8" s="150" t="s">
        <v>349</v>
      </c>
      <c r="P8" s="150" t="s">
        <v>349</v>
      </c>
      <c r="Q8" s="150" t="s">
        <v>381</v>
      </c>
      <c r="R8" s="150" t="s">
        <v>382</v>
      </c>
      <c r="S8" s="150" t="s">
        <v>392</v>
      </c>
      <c r="T8" s="150" t="s">
        <v>393</v>
      </c>
      <c r="U8" s="150">
        <f>'Portafolio P&amp;D'!Q11</f>
        <v>2021</v>
      </c>
      <c r="V8" s="150">
        <f>'Portafolio P&amp;D'!R11</f>
        <v>2025</v>
      </c>
      <c r="W8" s="158" t="s">
        <v>394</v>
      </c>
      <c r="X8" s="109" t="s">
        <v>373</v>
      </c>
      <c r="Y8" s="149" t="s">
        <v>107</v>
      </c>
      <c r="Z8" s="55" t="s">
        <v>374</v>
      </c>
      <c r="AA8" s="149" t="s">
        <v>355</v>
      </c>
      <c r="AB8" s="150" t="s">
        <v>356</v>
      </c>
      <c r="AC8" s="150" t="s">
        <v>357</v>
      </c>
      <c r="AD8" s="150" t="str">
        <f>'Portafolio P&amp;D'!X11</f>
        <v>Jorge Ruiz</v>
      </c>
      <c r="AE8" s="150" t="s">
        <v>395</v>
      </c>
      <c r="AF8" s="153"/>
      <c r="AG8" s="151"/>
      <c r="AH8" s="151">
        <v>45183</v>
      </c>
      <c r="AI8" s="247">
        <v>45723</v>
      </c>
      <c r="AJ8" s="247"/>
      <c r="AK8" s="155" t="s">
        <v>373</v>
      </c>
      <c r="AL8" s="155" t="s">
        <v>373</v>
      </c>
      <c r="AM8" s="278" t="str">
        <f>IF(DemandaEstrateg_[[#This Row],[Tipo de Requerimiento]]="Proyecto",(DemandaEstrateg_[[#This Row],[% Avance ejecutado]]-DemandaEstrateg_[[#This Row],[% Avance Planificado]])/DemandaEstrateg_[[#This Row],[% Avance Planificado]],"No aplica")</f>
        <v>No aplica</v>
      </c>
      <c r="AN8" s="278" t="str">
        <f>IF(DemandaEstrateg_[[#This Row],[Tipo de Requerimiento]]="Proyecto",(DemandaEstrateg_[[#This Row],[% Avance ejecutado]]-DemandaEstrateg_[[#This Row],[% Avance Planificado]])/DemandaEstrateg_[[#This Row],[% Avance Planificado]],"No aplica")</f>
        <v>No aplica</v>
      </c>
      <c r="AO8" s="190"/>
      <c r="AP8" s="374">
        <v>46023</v>
      </c>
      <c r="AQ8" s="191" t="s">
        <v>359</v>
      </c>
      <c r="AR8" s="153" t="s">
        <v>386</v>
      </c>
      <c r="AS8" s="159" t="str">
        <f>VLOOKUP(DemandaEstrateg_[[#This Row],[Últ. Estado CQ 14.05]],Tabla36[[Estado CQ]:[Estado TI]],3,FALSE)</f>
        <v>03. En Desarrollo</v>
      </c>
      <c r="AT8" s="152" t="str">
        <f>VLOOKUP(DemandaEstrateg_[[#This Row],[Estado TI]],Tabla12[],3,FALSE)</f>
        <v>02. En Ejecución</v>
      </c>
      <c r="AU8" s="231" t="s">
        <v>396</v>
      </c>
      <c r="AV8" s="205" t="s">
        <v>175</v>
      </c>
    </row>
    <row r="9" spans="1:48" s="210" customFormat="1" ht="49.9" customHeight="1" thickBot="1">
      <c r="A9" s="163">
        <v>1749</v>
      </c>
      <c r="B9" s="159" t="s">
        <v>397</v>
      </c>
      <c r="C9" s="159">
        <v>442</v>
      </c>
      <c r="D9" s="156" t="s">
        <v>398</v>
      </c>
      <c r="E9" s="55" t="s">
        <v>364</v>
      </c>
      <c r="F9" s="58" t="s">
        <v>399</v>
      </c>
      <c r="G9" s="58" t="s">
        <v>400</v>
      </c>
      <c r="H9" s="55" t="s">
        <v>93</v>
      </c>
      <c r="I9" s="55" t="s">
        <v>368</v>
      </c>
      <c r="J9" s="55" t="str">
        <f>'Portafolio P&amp;D'!$G$11</f>
        <v>Luis Garcia; 
Liliana Casafranca</v>
      </c>
      <c r="K9" s="76" t="s">
        <v>369</v>
      </c>
      <c r="L9" s="148">
        <v>45090</v>
      </c>
      <c r="M9" s="238" t="s">
        <v>370</v>
      </c>
      <c r="N9" s="150" t="s">
        <v>349</v>
      </c>
      <c r="O9" s="150" t="s">
        <v>349</v>
      </c>
      <c r="P9" s="150" t="s">
        <v>349</v>
      </c>
      <c r="Q9" s="150" t="s">
        <v>350</v>
      </c>
      <c r="R9" s="150" t="s">
        <v>382</v>
      </c>
      <c r="S9" s="150" t="s">
        <v>401</v>
      </c>
      <c r="T9" s="150" t="s">
        <v>401</v>
      </c>
      <c r="U9" s="150">
        <f>'Portafolio P&amp;D'!Q11</f>
        <v>2021</v>
      </c>
      <c r="V9" s="150">
        <f>'Portafolio P&amp;D'!R11</f>
        <v>2025</v>
      </c>
      <c r="W9" s="158">
        <v>45271</v>
      </c>
      <c r="X9" s="109" t="s">
        <v>373</v>
      </c>
      <c r="Y9" s="149" t="s">
        <v>107</v>
      </c>
      <c r="Z9" s="55" t="s">
        <v>374</v>
      </c>
      <c r="AA9" s="149" t="s">
        <v>355</v>
      </c>
      <c r="AB9" s="150" t="s">
        <v>356</v>
      </c>
      <c r="AC9" s="150" t="s">
        <v>357</v>
      </c>
      <c r="AD9" s="150" t="str">
        <f>'Portafolio P&amp;D'!X11</f>
        <v>Jorge Ruiz</v>
      </c>
      <c r="AE9" s="150" t="s">
        <v>402</v>
      </c>
      <c r="AF9" s="153"/>
      <c r="AG9" s="151"/>
      <c r="AH9" s="151">
        <v>44726</v>
      </c>
      <c r="AI9" s="247">
        <v>45930</v>
      </c>
      <c r="AJ9" s="247"/>
      <c r="AK9" s="211" t="s">
        <v>373</v>
      </c>
      <c r="AL9" s="211" t="s">
        <v>373</v>
      </c>
      <c r="AM9" s="278" t="str">
        <f>IF(DemandaEstrateg_[[#This Row],[Tipo de Requerimiento]]="Proyecto",(DemandaEstrateg_[[#This Row],[% Avance ejecutado]]-DemandaEstrateg_[[#This Row],[% Avance Planificado]])/DemandaEstrateg_[[#This Row],[% Avance Planificado]],"No aplica")</f>
        <v>No aplica</v>
      </c>
      <c r="AN9" s="278" t="str">
        <f>IF(DemandaEstrateg_[[#This Row],[Tipo de Requerimiento]]="Proyecto",(DemandaEstrateg_[[#This Row],[% Avance ejecutado]]-DemandaEstrateg_[[#This Row],[% Avance Planificado]])/DemandaEstrateg_[[#This Row],[% Avance Planificado]],"No aplica")</f>
        <v>No aplica</v>
      </c>
      <c r="AO9" s="190"/>
      <c r="AP9" s="375">
        <v>46082</v>
      </c>
      <c r="AQ9" s="321" t="s">
        <v>359</v>
      </c>
      <c r="AR9" s="153" t="s">
        <v>403</v>
      </c>
      <c r="AS9" s="159" t="str">
        <f>VLOOKUP(DemandaEstrateg_[[#This Row],[Últ. Estado CQ 14.05]],Tabla36[[Estado CQ]:[Estado TI]],3,FALSE)</f>
        <v>05. En Calidad</v>
      </c>
      <c r="AT9" s="152" t="str">
        <f>VLOOKUP(DemandaEstrateg_[[#This Row],[Estado TI]],Tabla12[],3,FALSE)</f>
        <v>02. En Ejecución</v>
      </c>
      <c r="AU9" s="230" t="s">
        <v>404</v>
      </c>
      <c r="AV9" s="205" t="s">
        <v>175</v>
      </c>
    </row>
    <row r="10" spans="1:48" ht="49.9" customHeight="1" thickBot="1">
      <c r="A10" s="163">
        <v>1751</v>
      </c>
      <c r="B10" s="159" t="s">
        <v>405</v>
      </c>
      <c r="C10" s="159">
        <v>1749</v>
      </c>
      <c r="D10" s="164" t="s">
        <v>406</v>
      </c>
      <c r="E10" s="55" t="s">
        <v>364</v>
      </c>
      <c r="F10" s="206" t="s">
        <v>407</v>
      </c>
      <c r="G10" s="58" t="s">
        <v>408</v>
      </c>
      <c r="H10" s="55" t="s">
        <v>93</v>
      </c>
      <c r="I10" s="55" t="s">
        <v>368</v>
      </c>
      <c r="J10" s="55" t="str">
        <f>'Portafolio P&amp;D'!$G$11</f>
        <v>Luis Garcia; 
Liliana Casafranca</v>
      </c>
      <c r="K10" s="76" t="s">
        <v>369</v>
      </c>
      <c r="L10" s="148">
        <v>45090</v>
      </c>
      <c r="M10" s="149" t="s">
        <v>370</v>
      </c>
      <c r="N10" s="150" t="s">
        <v>349</v>
      </c>
      <c r="O10" s="150" t="s">
        <v>349</v>
      </c>
      <c r="P10" s="150" t="s">
        <v>349</v>
      </c>
      <c r="Q10" s="150" t="s">
        <v>381</v>
      </c>
      <c r="R10" s="150" t="s">
        <v>351</v>
      </c>
      <c r="S10" s="150" t="s">
        <v>409</v>
      </c>
      <c r="T10" s="150" t="s">
        <v>410</v>
      </c>
      <c r="U10" s="150">
        <f>'Portafolio P&amp;D'!Q11</f>
        <v>2021</v>
      </c>
      <c r="V10" s="150">
        <f>'Portafolio P&amp;D'!R11</f>
        <v>2025</v>
      </c>
      <c r="W10" s="158">
        <v>45271</v>
      </c>
      <c r="X10" s="109" t="s">
        <v>373</v>
      </c>
      <c r="Y10" s="149" t="s">
        <v>107</v>
      </c>
      <c r="Z10" s="55" t="s">
        <v>374</v>
      </c>
      <c r="AA10" s="149" t="s">
        <v>355</v>
      </c>
      <c r="AB10" s="150" t="s">
        <v>356</v>
      </c>
      <c r="AC10" s="150" t="s">
        <v>411</v>
      </c>
      <c r="AD10" s="150" t="str">
        <f>'Portafolio P&amp;D'!X11</f>
        <v>Jorge Ruiz</v>
      </c>
      <c r="AE10" s="150" t="s">
        <v>358</v>
      </c>
      <c r="AF10" s="153"/>
      <c r="AG10" s="151"/>
      <c r="AH10" s="151">
        <v>45054</v>
      </c>
      <c r="AI10" s="247">
        <v>45869</v>
      </c>
      <c r="AJ10" s="247"/>
      <c r="AK10" s="155" t="s">
        <v>373</v>
      </c>
      <c r="AL10" s="155" t="s">
        <v>373</v>
      </c>
      <c r="AM10" s="278" t="str">
        <f>IF(DemandaEstrateg_[[#This Row],[Tipo de Requerimiento]]="Proyecto",(DemandaEstrateg_[[#This Row],[% Avance ejecutado]]-DemandaEstrateg_[[#This Row],[% Avance Planificado]])/DemandaEstrateg_[[#This Row],[% Avance Planificado]],"No aplica")</f>
        <v>No aplica</v>
      </c>
      <c r="AN10" s="278" t="str">
        <f>IF(DemandaEstrateg_[[#This Row],[Tipo de Requerimiento]]="Proyecto",(DemandaEstrateg_[[#This Row],[% Avance ejecutado]]-DemandaEstrateg_[[#This Row],[% Avance Planificado]])/DemandaEstrateg_[[#This Row],[% Avance Planificado]],"No aplica")</f>
        <v>No aplica</v>
      </c>
      <c r="AO10" s="190"/>
      <c r="AP10" s="375">
        <v>46082</v>
      </c>
      <c r="AQ10" s="153" t="s">
        <v>359</v>
      </c>
      <c r="AR10" s="153" t="s">
        <v>403</v>
      </c>
      <c r="AS10" s="159" t="str">
        <f>VLOOKUP(DemandaEstrateg_[[#This Row],[Últ. Estado CQ 14.05]],Tabla36[[Estado CQ]:[Estado TI]],3,FALSE)</f>
        <v>05. En Calidad</v>
      </c>
      <c r="AT10" s="152" t="str">
        <f>VLOOKUP(DemandaEstrateg_[[#This Row],[Estado TI]],Tabla12[],3,FALSE)</f>
        <v>02. En Ejecución</v>
      </c>
      <c r="AU10" s="230" t="s">
        <v>404</v>
      </c>
      <c r="AV10" s="205" t="s">
        <v>175</v>
      </c>
    </row>
    <row r="11" spans="1:48" ht="49.9" customHeight="1" thickBot="1">
      <c r="A11" s="163">
        <v>1752</v>
      </c>
      <c r="B11" s="159" t="s">
        <v>412</v>
      </c>
      <c r="C11" s="159">
        <v>1749</v>
      </c>
      <c r="D11" s="164" t="s">
        <v>398</v>
      </c>
      <c r="E11" s="55" t="s">
        <v>364</v>
      </c>
      <c r="F11" s="206" t="s">
        <v>413</v>
      </c>
      <c r="G11" s="58" t="s">
        <v>414</v>
      </c>
      <c r="H11" s="55" t="s">
        <v>93</v>
      </c>
      <c r="I11" s="55" t="s">
        <v>368</v>
      </c>
      <c r="J11" s="55" t="str">
        <f>'Portafolio P&amp;D'!$G$11</f>
        <v>Luis Garcia; 
Liliana Casafranca</v>
      </c>
      <c r="K11" s="76" t="s">
        <v>369</v>
      </c>
      <c r="L11" s="148">
        <v>45090</v>
      </c>
      <c r="M11" s="149" t="s">
        <v>370</v>
      </c>
      <c r="N11" s="150" t="s">
        <v>349</v>
      </c>
      <c r="O11" s="150" t="s">
        <v>349</v>
      </c>
      <c r="P11" s="150" t="s">
        <v>349</v>
      </c>
      <c r="Q11" s="150" t="s">
        <v>381</v>
      </c>
      <c r="R11" s="150" t="s">
        <v>351</v>
      </c>
      <c r="S11" s="150" t="s">
        <v>409</v>
      </c>
      <c r="T11" s="150" t="s">
        <v>410</v>
      </c>
      <c r="U11" s="150">
        <f>'Portafolio P&amp;D'!Q11</f>
        <v>2021</v>
      </c>
      <c r="V11" s="150">
        <f>'Portafolio P&amp;D'!R11</f>
        <v>2025</v>
      </c>
      <c r="W11" s="158">
        <v>45271</v>
      </c>
      <c r="X11" s="109" t="s">
        <v>373</v>
      </c>
      <c r="Y11" s="149" t="s">
        <v>107</v>
      </c>
      <c r="Z11" s="55" t="s">
        <v>374</v>
      </c>
      <c r="AA11" s="149" t="s">
        <v>355</v>
      </c>
      <c r="AB11" s="150" t="s">
        <v>356</v>
      </c>
      <c r="AC11" s="150" t="s">
        <v>415</v>
      </c>
      <c r="AD11" s="150" t="str">
        <f>'Portafolio P&amp;D'!X11</f>
        <v>Jorge Ruiz</v>
      </c>
      <c r="AE11" s="150" t="s">
        <v>358</v>
      </c>
      <c r="AF11" s="153"/>
      <c r="AG11" s="151"/>
      <c r="AH11" s="151">
        <v>45236</v>
      </c>
      <c r="AI11" s="247">
        <v>45869</v>
      </c>
      <c r="AJ11" s="247"/>
      <c r="AK11" s="155" t="s">
        <v>373</v>
      </c>
      <c r="AL11" s="155" t="s">
        <v>373</v>
      </c>
      <c r="AM11" s="278" t="str">
        <f>IF(DemandaEstrateg_[[#This Row],[Tipo de Requerimiento]]="Proyecto",(DemandaEstrateg_[[#This Row],[% Avance ejecutado]]-DemandaEstrateg_[[#This Row],[% Avance Planificado]])/DemandaEstrateg_[[#This Row],[% Avance Planificado]],"No aplica")</f>
        <v>No aplica</v>
      </c>
      <c r="AN11" s="278" t="str">
        <f>IF(DemandaEstrateg_[[#This Row],[Tipo de Requerimiento]]="Proyecto",(DemandaEstrateg_[[#This Row],[% Avance ejecutado]]-DemandaEstrateg_[[#This Row],[% Avance Planificado]])/DemandaEstrateg_[[#This Row],[% Avance Planificado]],"No aplica")</f>
        <v>No aplica</v>
      </c>
      <c r="AO11" s="190"/>
      <c r="AP11" s="375">
        <v>46082</v>
      </c>
      <c r="AQ11" s="153" t="s">
        <v>359</v>
      </c>
      <c r="AR11" s="153" t="s">
        <v>403</v>
      </c>
      <c r="AS11" s="159" t="str">
        <f>VLOOKUP(DemandaEstrateg_[[#This Row],[Últ. Estado CQ 14.05]],Tabla36[[Estado CQ]:[Estado TI]],3,FALSE)</f>
        <v>05. En Calidad</v>
      </c>
      <c r="AT11" s="152" t="str">
        <f>VLOOKUP(DemandaEstrateg_[[#This Row],[Estado TI]],Tabla12[],3,FALSE)</f>
        <v>02. En Ejecución</v>
      </c>
      <c r="AU11" s="230" t="s">
        <v>404</v>
      </c>
      <c r="AV11" s="205" t="s">
        <v>175</v>
      </c>
    </row>
    <row r="12" spans="1:48" s="210" customFormat="1" ht="49.9" customHeight="1" thickBot="1">
      <c r="A12" s="163">
        <v>1753</v>
      </c>
      <c r="B12" s="159" t="s">
        <v>416</v>
      </c>
      <c r="C12" s="163">
        <v>442</v>
      </c>
      <c r="D12" s="159" t="s">
        <v>417</v>
      </c>
      <c r="E12" s="55" t="s">
        <v>364</v>
      </c>
      <c r="F12" s="58" t="s">
        <v>418</v>
      </c>
      <c r="G12" s="58" t="s">
        <v>419</v>
      </c>
      <c r="H12" s="55" t="s">
        <v>93</v>
      </c>
      <c r="I12" s="55" t="s">
        <v>368</v>
      </c>
      <c r="J12" s="55" t="str">
        <f>'Portafolio P&amp;D'!$G$11</f>
        <v>Luis Garcia; 
Liliana Casafranca</v>
      </c>
      <c r="K12" s="76" t="s">
        <v>369</v>
      </c>
      <c r="L12" s="148">
        <v>45090</v>
      </c>
      <c r="M12" s="149" t="s">
        <v>370</v>
      </c>
      <c r="N12" s="150" t="s">
        <v>349</v>
      </c>
      <c r="O12" s="150" t="s">
        <v>349</v>
      </c>
      <c r="P12" s="150" t="s">
        <v>349</v>
      </c>
      <c r="Q12" s="150" t="s">
        <v>350</v>
      </c>
      <c r="R12" s="150" t="s">
        <v>382</v>
      </c>
      <c r="S12" s="150" t="s">
        <v>410</v>
      </c>
      <c r="T12" s="150" t="s">
        <v>410</v>
      </c>
      <c r="U12" s="150">
        <f>'Portafolio P&amp;D'!Q11</f>
        <v>2021</v>
      </c>
      <c r="V12" s="150">
        <f>'Portafolio P&amp;D'!R11</f>
        <v>2025</v>
      </c>
      <c r="W12" s="158">
        <v>45271</v>
      </c>
      <c r="X12" s="109" t="s">
        <v>373</v>
      </c>
      <c r="Y12" s="149" t="s">
        <v>107</v>
      </c>
      <c r="Z12" s="55" t="s">
        <v>374</v>
      </c>
      <c r="AA12" s="149" t="s">
        <v>355</v>
      </c>
      <c r="AB12" s="150" t="s">
        <v>420</v>
      </c>
      <c r="AC12" s="150" t="s">
        <v>357</v>
      </c>
      <c r="AD12" s="150" t="str">
        <f>'Portafolio P&amp;D'!X11</f>
        <v>Jorge Ruiz</v>
      </c>
      <c r="AE12" s="150" t="s">
        <v>358</v>
      </c>
      <c r="AF12" s="153"/>
      <c r="AG12" s="151"/>
      <c r="AH12" s="151">
        <v>44739</v>
      </c>
      <c r="AI12" s="247">
        <v>45838</v>
      </c>
      <c r="AJ12" s="247">
        <v>46050</v>
      </c>
      <c r="AK12" s="211" t="s">
        <v>373</v>
      </c>
      <c r="AL12" s="211" t="s">
        <v>373</v>
      </c>
      <c r="AM12" s="278" t="str">
        <f>IF(DemandaEstrateg_[[#This Row],[Tipo de Requerimiento]]="Proyecto",(DemandaEstrateg_[[#This Row],[% Avance ejecutado]]-DemandaEstrateg_[[#This Row],[% Avance Planificado]])/DemandaEstrateg_[[#This Row],[% Avance Planificado]],"No aplica")</f>
        <v>No aplica</v>
      </c>
      <c r="AN12" s="278" t="str">
        <f>IF(DemandaEstrateg_[[#This Row],[Tipo de Requerimiento]]="Proyecto",(DemandaEstrateg_[[#This Row],[% Avance ejecutado]]-DemandaEstrateg_[[#This Row],[% Avance Planificado]])/DemandaEstrateg_[[#This Row],[% Avance Planificado]],"No aplica")</f>
        <v>No aplica</v>
      </c>
      <c r="AO12" s="190"/>
      <c r="AP12" s="375">
        <v>45992</v>
      </c>
      <c r="AQ12" s="321" t="s">
        <v>421</v>
      </c>
      <c r="AR12" s="450" t="s">
        <v>422</v>
      </c>
      <c r="AS12" s="159" t="str">
        <f>VLOOKUP(DemandaEstrateg_[[#This Row],[Últ. Estado CQ 14.05]],Tabla36[[Estado CQ]:[Estado TI]],3,FALSE)</f>
        <v>08. Producción Finalizada</v>
      </c>
      <c r="AT12" s="152" t="str">
        <f>VLOOKUP(DemandaEstrateg_[[#This Row],[Estado TI]],Tabla12[],3,FALSE)</f>
        <v>03. Implementado</v>
      </c>
      <c r="AU12" s="230" t="s">
        <v>404</v>
      </c>
      <c r="AV12" s="205" t="s">
        <v>175</v>
      </c>
    </row>
    <row r="13" spans="1:48" ht="49.9" customHeight="1" thickBot="1">
      <c r="A13" s="163">
        <v>1755</v>
      </c>
      <c r="B13" s="159" t="s">
        <v>423</v>
      </c>
      <c r="C13" s="159">
        <v>1753</v>
      </c>
      <c r="D13" s="164" t="s">
        <v>424</v>
      </c>
      <c r="E13" s="55" t="s">
        <v>364</v>
      </c>
      <c r="F13" s="206" t="s">
        <v>425</v>
      </c>
      <c r="G13" s="58" t="s">
        <v>426</v>
      </c>
      <c r="H13" s="55" t="s">
        <v>93</v>
      </c>
      <c r="I13" s="55" t="s">
        <v>368</v>
      </c>
      <c r="J13" s="55" t="str">
        <f>'Portafolio P&amp;D'!$G$11</f>
        <v>Luis Garcia; 
Liliana Casafranca</v>
      </c>
      <c r="K13" s="76" t="s">
        <v>369</v>
      </c>
      <c r="L13" s="148">
        <v>45090</v>
      </c>
      <c r="M13" s="149" t="s">
        <v>370</v>
      </c>
      <c r="N13" s="150" t="s">
        <v>349</v>
      </c>
      <c r="O13" s="150" t="s">
        <v>349</v>
      </c>
      <c r="P13" s="150" t="s">
        <v>349</v>
      </c>
      <c r="Q13" s="150" t="s">
        <v>381</v>
      </c>
      <c r="R13" s="150" t="s">
        <v>382</v>
      </c>
      <c r="S13" s="150" t="s">
        <v>427</v>
      </c>
      <c r="T13" s="150" t="s">
        <v>410</v>
      </c>
      <c r="U13" s="150">
        <f>'Portafolio P&amp;D'!Q11</f>
        <v>2021</v>
      </c>
      <c r="V13" s="150">
        <f>'Portafolio P&amp;D'!R11</f>
        <v>2025</v>
      </c>
      <c r="W13" s="158">
        <v>45271</v>
      </c>
      <c r="X13" s="109" t="s">
        <v>373</v>
      </c>
      <c r="Y13" s="149" t="s">
        <v>107</v>
      </c>
      <c r="Z13" s="55" t="s">
        <v>374</v>
      </c>
      <c r="AA13" s="149" t="s">
        <v>355</v>
      </c>
      <c r="AB13" s="150" t="s">
        <v>420</v>
      </c>
      <c r="AC13" s="150" t="s">
        <v>357</v>
      </c>
      <c r="AD13" s="150" t="str">
        <f>'Portafolio P&amp;D'!X11</f>
        <v>Jorge Ruiz</v>
      </c>
      <c r="AE13" s="150" t="s">
        <v>428</v>
      </c>
      <c r="AF13" s="153"/>
      <c r="AG13" s="151"/>
      <c r="AH13" s="151">
        <v>45045</v>
      </c>
      <c r="AI13" s="247">
        <v>45723</v>
      </c>
      <c r="AJ13" s="247">
        <v>46052</v>
      </c>
      <c r="AK13" s="155" t="s">
        <v>373</v>
      </c>
      <c r="AL13" s="155" t="s">
        <v>373</v>
      </c>
      <c r="AM13" s="278" t="str">
        <f>IF(DemandaEstrateg_[[#This Row],[Tipo de Requerimiento]]="Proyecto",(DemandaEstrateg_[[#This Row],[% Avance ejecutado]]-DemandaEstrateg_[[#This Row],[% Avance Planificado]])/DemandaEstrateg_[[#This Row],[% Avance Planificado]],"No aplica")</f>
        <v>No aplica</v>
      </c>
      <c r="AN13" s="278" t="str">
        <f>IF(DemandaEstrateg_[[#This Row],[Tipo de Requerimiento]]="Proyecto",(DemandaEstrateg_[[#This Row],[% Avance ejecutado]]-DemandaEstrateg_[[#This Row],[% Avance Planificado]])/DemandaEstrateg_[[#This Row],[% Avance Planificado]],"No aplica")</f>
        <v>No aplica</v>
      </c>
      <c r="AO13" s="190"/>
      <c r="AP13" s="375">
        <v>45992</v>
      </c>
      <c r="AQ13" s="153" t="s">
        <v>421</v>
      </c>
      <c r="AR13" s="450" t="s">
        <v>422</v>
      </c>
      <c r="AS13" s="159" t="str">
        <f>VLOOKUP(DemandaEstrateg_[[#This Row],[Últ. Estado CQ 14.05]],Tabla36[[Estado CQ]:[Estado TI]],3,FALSE)</f>
        <v>08. Producción Finalizada</v>
      </c>
      <c r="AT13" s="152" t="str">
        <f>VLOOKUP(DemandaEstrateg_[[#This Row],[Estado TI]],Tabla12[],3,FALSE)</f>
        <v>03. Implementado</v>
      </c>
      <c r="AU13" s="232" t="s">
        <v>429</v>
      </c>
      <c r="AV13" s="205" t="s">
        <v>175</v>
      </c>
    </row>
    <row r="14" spans="1:48" s="210" customFormat="1" ht="49.9" customHeight="1">
      <c r="A14" s="163">
        <v>1756</v>
      </c>
      <c r="B14" s="159" t="s">
        <v>430</v>
      </c>
      <c r="C14" s="159">
        <v>442</v>
      </c>
      <c r="D14" s="159" t="s">
        <v>431</v>
      </c>
      <c r="E14" s="55" t="s">
        <v>364</v>
      </c>
      <c r="F14" s="58" t="s">
        <v>432</v>
      </c>
      <c r="G14" s="58" t="s">
        <v>433</v>
      </c>
      <c r="H14" s="55" t="s">
        <v>93</v>
      </c>
      <c r="I14" s="55" t="s">
        <v>368</v>
      </c>
      <c r="J14" s="55" t="str">
        <f>'Portafolio P&amp;D'!$G$11</f>
        <v>Luis Garcia; 
Liliana Casafranca</v>
      </c>
      <c r="K14" s="76" t="s">
        <v>369</v>
      </c>
      <c r="L14" s="148">
        <v>45090</v>
      </c>
      <c r="M14" s="149" t="s">
        <v>370</v>
      </c>
      <c r="N14" s="150" t="s">
        <v>349</v>
      </c>
      <c r="O14" s="150" t="s">
        <v>349</v>
      </c>
      <c r="P14" s="150" t="s">
        <v>349</v>
      </c>
      <c r="Q14" s="150" t="s">
        <v>350</v>
      </c>
      <c r="R14" s="150" t="s">
        <v>382</v>
      </c>
      <c r="S14" s="150" t="s">
        <v>410</v>
      </c>
      <c r="T14" s="150" t="s">
        <v>410</v>
      </c>
      <c r="U14" s="150">
        <f>'Portafolio P&amp;D'!Q11</f>
        <v>2021</v>
      </c>
      <c r="V14" s="150">
        <f>'Portafolio P&amp;D'!R11</f>
        <v>2025</v>
      </c>
      <c r="W14" s="158">
        <v>45271</v>
      </c>
      <c r="X14" s="109" t="s">
        <v>373</v>
      </c>
      <c r="Y14" s="149" t="s">
        <v>107</v>
      </c>
      <c r="Z14" s="55" t="s">
        <v>374</v>
      </c>
      <c r="AA14" s="149" t="s">
        <v>355</v>
      </c>
      <c r="AB14" s="150" t="s">
        <v>434</v>
      </c>
      <c r="AC14" s="150" t="s">
        <v>357</v>
      </c>
      <c r="AD14" s="150" t="str">
        <f>'Portafolio P&amp;D'!X11</f>
        <v>Jorge Ruiz</v>
      </c>
      <c r="AE14" s="150" t="s">
        <v>435</v>
      </c>
      <c r="AF14" s="153"/>
      <c r="AG14" s="151"/>
      <c r="AH14" s="151">
        <v>45652</v>
      </c>
      <c r="AI14" s="247">
        <v>46139</v>
      </c>
      <c r="AJ14" s="247"/>
      <c r="AK14" s="211">
        <v>0.71</v>
      </c>
      <c r="AL14" s="211">
        <v>0.51</v>
      </c>
      <c r="AM14" s="278" t="str">
        <f>IF(DemandaEstrateg_[[#This Row],[Tipo de Requerimiento]]="Proyecto",(DemandaEstrateg_[[#This Row],[% Avance ejecutado]]-DemandaEstrateg_[[#This Row],[% Avance Planificado]])/DemandaEstrateg_[[#This Row],[% Avance Planificado]],"No aplica")</f>
        <v>No aplica</v>
      </c>
      <c r="AN14" s="278" t="str">
        <f>IF(DemandaEstrateg_[[#This Row],[Tipo de Requerimiento]]="Proyecto",(DemandaEstrateg_[[#This Row],[% Avance ejecutado]]-DemandaEstrateg_[[#This Row],[% Avance Planificado]])/DemandaEstrateg_[[#This Row],[% Avance Planificado]],"No aplica")</f>
        <v>No aplica</v>
      </c>
      <c r="AO14" s="190"/>
      <c r="AP14" s="375">
        <v>46082</v>
      </c>
      <c r="AQ14" s="321" t="s">
        <v>359</v>
      </c>
      <c r="AR14" s="321" t="s">
        <v>375</v>
      </c>
      <c r="AS14" s="159" t="str">
        <f>VLOOKUP(DemandaEstrateg_[[#This Row],[Últ. Estado CQ 14.05]],Tabla36[[Estado CQ]:[Estado TI]],3,FALSE)</f>
        <v>06. Calidad Finalizado</v>
      </c>
      <c r="AT14" s="152" t="str">
        <f>VLOOKUP(DemandaEstrateg_[[#This Row],[Estado TI]],Tabla12[],3,FALSE)</f>
        <v>02. En Ejecución</v>
      </c>
      <c r="AU14" s="230" t="s">
        <v>436</v>
      </c>
      <c r="AV14" s="205" t="s">
        <v>175</v>
      </c>
    </row>
    <row r="15" spans="1:48" ht="49.9" customHeight="1">
      <c r="A15" s="55">
        <v>2056</v>
      </c>
      <c r="B15" s="150" t="s">
        <v>175</v>
      </c>
      <c r="C15" s="150" t="s">
        <v>175</v>
      </c>
      <c r="D15" s="150" t="s">
        <v>175</v>
      </c>
      <c r="E15" s="55" t="s">
        <v>347</v>
      </c>
      <c r="F15" s="58" t="str">
        <f>'Portafolio P&amp;D'!$C$9</f>
        <v>Proyecto Cuenta DNI – Nuevas Funcionalidades</v>
      </c>
      <c r="G15" s="58" t="str">
        <f>'Portafolio P&amp;D'!D9</f>
        <v>La cuenta DNI es una cuenta básica de ahorros de naturaleza digital y en moneda nacional</v>
      </c>
      <c r="H15" s="55" t="str">
        <f>'Portafolio P&amp;D'!E9</f>
        <v>Banca Digital</v>
      </c>
      <c r="I15" s="55" t="str">
        <f>'Portafolio P&amp;D'!F9</f>
        <v>Luis Palacios</v>
      </c>
      <c r="J15" s="55" t="str">
        <f>'Portafolio P&amp;D'!G9</f>
        <v>Por definir</v>
      </c>
      <c r="K15" s="55" t="str">
        <f>'Portafolio P&amp;D'!H9</f>
        <v>Juan Carlos Palomino</v>
      </c>
      <c r="L15" s="148">
        <v>45309</v>
      </c>
      <c r="M15" s="149" t="s">
        <v>437</v>
      </c>
      <c r="N15" s="150" t="s">
        <v>382</v>
      </c>
      <c r="O15" s="150" t="s">
        <v>438</v>
      </c>
      <c r="P15" s="150" t="s">
        <v>373</v>
      </c>
      <c r="Q15" s="150" t="s">
        <v>97</v>
      </c>
      <c r="R15" s="150" t="s">
        <v>382</v>
      </c>
      <c r="S15" s="150" t="s">
        <v>410</v>
      </c>
      <c r="T15" s="150" t="s">
        <v>410</v>
      </c>
      <c r="U15" s="150">
        <f>'Portafolio P&amp;D'!Q9</f>
        <v>2023</v>
      </c>
      <c r="V15" s="150">
        <f>'Portafolio P&amp;D'!R9</f>
        <v>2025</v>
      </c>
      <c r="W15" s="76">
        <f>'Portafolio P&amp;D'!M9</f>
        <v>45121</v>
      </c>
      <c r="X15" s="277">
        <f>'Portafolio P&amp;D'!I9</f>
        <v>31894424.219999999</v>
      </c>
      <c r="Y15" s="149" t="s">
        <v>87</v>
      </c>
      <c r="Z15" s="55" t="s">
        <v>439</v>
      </c>
      <c r="AA15" s="149" t="s">
        <v>440</v>
      </c>
      <c r="AB15" s="150" t="s">
        <v>356</v>
      </c>
      <c r="AC15" s="472" t="s">
        <v>441</v>
      </c>
      <c r="AD15" s="150" t="str">
        <f>'Portafolio P&amp;D'!X9</f>
        <v>Angela Risco</v>
      </c>
      <c r="AE15" s="150" t="s">
        <v>442</v>
      </c>
      <c r="AF15" s="153"/>
      <c r="AG15" s="151"/>
      <c r="AH15" s="151">
        <f>'Portafolio P&amp;D'!Y9</f>
        <v>45065</v>
      </c>
      <c r="AI15" s="154">
        <f>'Portafolio P&amp;D'!Z9</f>
        <v>46112</v>
      </c>
      <c r="AJ15" s="154"/>
      <c r="AK15" s="155">
        <v>0.87</v>
      </c>
      <c r="AL15" s="155">
        <v>0.83</v>
      </c>
      <c r="AM15" s="278">
        <f>IF(DemandaEstrateg_[[#This Row],[Tipo de Requerimiento]]="Proyecto",(DemandaEstrateg_[[#This Row],[% Avance ejecutado]]-DemandaEstrateg_[[#This Row],[% Avance Planificado]])/DemandaEstrateg_[[#This Row],[% Avance Planificado]],"No aplica")</f>
        <v>-4.5977011494252915E-2</v>
      </c>
      <c r="AN15" s="190">
        <f>IF(DemandaEstrateg_[[#This Row],[Tipo de Requerimiento]]="Proyecto",(DemandaEstrateg_[[#This Row],[% Avance ejecutado]]-DemandaEstrateg_[[#This Row],[% Avance Planificado]])/DemandaEstrateg_[[#This Row],[% Avance Planificado]],"No aplica")</f>
        <v>-4.5977011494252915E-2</v>
      </c>
      <c r="AO15" s="190"/>
      <c r="AP15" s="417">
        <v>45931</v>
      </c>
      <c r="AQ15" s="153" t="s">
        <v>359</v>
      </c>
      <c r="AR15" s="153" t="s">
        <v>394</v>
      </c>
      <c r="AS15" s="320" t="s">
        <v>360</v>
      </c>
      <c r="AT15" s="152" t="str">
        <f>VLOOKUP(DemandaEstrateg_[[#This Row],[Estado TI]],Tabla12[],3,FALSE)</f>
        <v>02. En Ejecución</v>
      </c>
      <c r="AU15" s="445" t="s">
        <v>443</v>
      </c>
      <c r="AV15" s="214" t="str">
        <f>'Portafolio P&amp;D'!B9</f>
        <v>PRODNI-EO12-23-8</v>
      </c>
    </row>
    <row r="16" spans="1:48" ht="49.9" customHeight="1" thickBot="1">
      <c r="A16" s="55">
        <v>2116</v>
      </c>
      <c r="B16" s="150" t="s">
        <v>175</v>
      </c>
      <c r="C16" s="150" t="s">
        <v>175</v>
      </c>
      <c r="D16" s="150" t="s">
        <v>175</v>
      </c>
      <c r="E16" s="55" t="s">
        <v>347</v>
      </c>
      <c r="F16" s="58" t="str">
        <f>'Portafolio P&amp;D'!C12</f>
        <v>Adquisición de Switches Lan para las sedes Administrativas y dependencias del BN</v>
      </c>
      <c r="G16" s="58" t="str">
        <f>'Portafolio P&amp;D'!D12</f>
        <v>Renovar los equipos de comunicaciones que brindan el acceso a la red del banco a los usuarios administrativos y de las dependencias como Agencias, Lobbys y Oficinas especiales, usando protocolos de seguridad y acceso actualizados y estándares en la industria de Tl.</v>
      </c>
      <c r="H16" s="55" t="str">
        <f>'Portafolio P&amp;D'!E12</f>
        <v>Tecnologías de Información</v>
      </c>
      <c r="I16" s="55" t="str">
        <f>'Portafolio P&amp;D'!F12</f>
        <v>Alejandro Sifuentes</v>
      </c>
      <c r="J16" s="55" t="str">
        <f>'Portafolio P&amp;D'!G12</f>
        <v>-</v>
      </c>
      <c r="K16" s="55" t="str">
        <f>'Portafolio P&amp;D'!H12</f>
        <v>No definido</v>
      </c>
      <c r="L16" s="148">
        <v>45785</v>
      </c>
      <c r="M16" s="148" t="s">
        <v>444</v>
      </c>
      <c r="N16" s="150" t="s">
        <v>382</v>
      </c>
      <c r="O16" s="150" t="s">
        <v>382</v>
      </c>
      <c r="P16" s="150" t="s">
        <v>382</v>
      </c>
      <c r="Q16" s="150" t="s">
        <v>97</v>
      </c>
      <c r="R16" s="150" t="s">
        <v>382</v>
      </c>
      <c r="S16" s="150" t="s">
        <v>401</v>
      </c>
      <c r="T16" s="150" t="s">
        <v>401</v>
      </c>
      <c r="U16" s="150">
        <f>'Portafolio P&amp;D'!Q12</f>
        <v>2023</v>
      </c>
      <c r="V16" s="150">
        <f>'Portafolio P&amp;D'!R12</f>
        <v>2025</v>
      </c>
      <c r="W16" s="76">
        <f>'Portafolio P&amp;D'!M12</f>
        <v>45121</v>
      </c>
      <c r="X16" s="277">
        <f>'Portafolio P&amp;D'!I12</f>
        <v>7584500</v>
      </c>
      <c r="Y16" s="149" t="s">
        <v>115</v>
      </c>
      <c r="Z16" s="55" t="s">
        <v>439</v>
      </c>
      <c r="AA16" s="149" t="s">
        <v>175</v>
      </c>
      <c r="AB16" s="150" t="s">
        <v>445</v>
      </c>
      <c r="AC16" s="150" t="s">
        <v>446</v>
      </c>
      <c r="AD16" s="150" t="str">
        <f>'Portafolio P&amp;D'!X12</f>
        <v>Erick Romero</v>
      </c>
      <c r="AE16" s="150" t="s">
        <v>447</v>
      </c>
      <c r="AF16" s="153"/>
      <c r="AG16" s="151" t="s">
        <v>373</v>
      </c>
      <c r="AH16" s="151">
        <f>'Portafolio P&amp;D'!Y12</f>
        <v>44928</v>
      </c>
      <c r="AI16" s="154">
        <f>'Portafolio P&amp;D'!Z12</f>
        <v>45774</v>
      </c>
      <c r="AJ16" s="154"/>
      <c r="AK16" s="155">
        <f>'Portafolio P&amp;D'!AA12</f>
        <v>1</v>
      </c>
      <c r="AL16" s="155">
        <f>'Portafolio P&amp;D'!AB12</f>
        <v>1</v>
      </c>
      <c r="AM16" s="278">
        <f>IF(DemandaEstrateg_[[#This Row],[Tipo de Requerimiento]]="Proyecto",(DemandaEstrateg_[[#This Row],[% Avance ejecutado]]-DemandaEstrateg_[[#This Row],[% Avance Planificado]])/DemandaEstrateg_[[#This Row],[% Avance Planificado]],"No aplica")</f>
        <v>0</v>
      </c>
      <c r="AN16" s="190">
        <f>IF(DemandaEstrateg_[[#This Row],[Tipo de Requerimiento]]="Proyecto",(DemandaEstrateg_[[#This Row],[% Avance ejecutado]]-DemandaEstrateg_[[#This Row],[% Avance Planificado]])/DemandaEstrateg_[[#This Row],[% Avance Planificado]],"No aplica")</f>
        <v>0</v>
      </c>
      <c r="AO16" s="190"/>
      <c r="AP16" s="291">
        <v>45748</v>
      </c>
      <c r="AQ16" s="153" t="s">
        <v>448</v>
      </c>
      <c r="AR16" s="153" t="s">
        <v>394</v>
      </c>
      <c r="AS16" s="320" t="s">
        <v>449</v>
      </c>
      <c r="AT16" s="317" t="str">
        <f>VLOOKUP(DemandaEstrateg_[[#This Row],[Estado TI]],Tabla12[],3,FALSE)</f>
        <v>04. Finalizado</v>
      </c>
      <c r="AU16" s="293" t="s">
        <v>450</v>
      </c>
      <c r="AV16" s="214" t="str">
        <f>'Portafolio P&amp;D'!B12</f>
        <v>PROASL-EO10-23-18</v>
      </c>
    </row>
    <row r="17" spans="1:48" ht="49.9" customHeight="1">
      <c r="A17" s="55">
        <v>2249</v>
      </c>
      <c r="B17" s="150" t="s">
        <v>175</v>
      </c>
      <c r="C17" s="150" t="s">
        <v>175</v>
      </c>
      <c r="D17" s="150" t="s">
        <v>175</v>
      </c>
      <c r="E17" s="55" t="s">
        <v>347</v>
      </c>
      <c r="F17" s="58" t="str">
        <f>'Portafolio P&amp;D'!C7</f>
        <v>Pruebas de Concepto - Quiosko digital dispensador de tarjetas</v>
      </c>
      <c r="G17" s="58" t="str">
        <f>'Portafolio P&amp;D'!D7</f>
        <v>La implementacion de los quioscos digitales brindará terminales de autoservicio para que los clientes puedan interactuar con informacion y contenido digital con el fin de facilitar y acelerar sus solicitudes y requerimientos, los cuales actualmente se hacen de forma presencial.</v>
      </c>
      <c r="H17" s="55" t="str">
        <f>'Portafolio P&amp;D'!E7</f>
        <v>Banca Digital</v>
      </c>
      <c r="I17" s="55" t="str">
        <f>'Portafolio P&amp;D'!F7</f>
        <v>Marita Carbajo</v>
      </c>
      <c r="J17" s="55" t="str">
        <f>'Portafolio P&amp;D'!$G$7</f>
        <v>Por definir</v>
      </c>
      <c r="K17" s="55" t="str">
        <f>'Portafolio P&amp;D'!H7</f>
        <v>Noe Figueroa</v>
      </c>
      <c r="L17" s="148">
        <v>45391</v>
      </c>
      <c r="M17" s="162" t="s">
        <v>451</v>
      </c>
      <c r="N17" s="150" t="s">
        <v>382</v>
      </c>
      <c r="O17" s="150" t="s">
        <v>438</v>
      </c>
      <c r="P17" s="150" t="s">
        <v>373</v>
      </c>
      <c r="Q17" s="150" t="s">
        <v>97</v>
      </c>
      <c r="R17" s="150" t="s">
        <v>382</v>
      </c>
      <c r="S17" s="150" t="s">
        <v>410</v>
      </c>
      <c r="T17" s="150" t="s">
        <v>410</v>
      </c>
      <c r="U17" s="150">
        <f>'Portafolio P&amp;D'!Q7</f>
        <v>2023</v>
      </c>
      <c r="V17" s="150">
        <f>'Portafolio P&amp;D'!R7</f>
        <v>2026</v>
      </c>
      <c r="W17" s="76">
        <f>'Portafolio P&amp;D'!M7</f>
        <v>45121</v>
      </c>
      <c r="X17" s="277" t="str">
        <f>'Portafolio P&amp;D'!I7</f>
        <v>S/ 1.659,450</v>
      </c>
      <c r="Y17" s="149" t="s">
        <v>71</v>
      </c>
      <c r="Z17" s="55" t="s">
        <v>452</v>
      </c>
      <c r="AA17" s="149" t="s">
        <v>175</v>
      </c>
      <c r="AB17" s="150" t="s">
        <v>453</v>
      </c>
      <c r="AC17" s="150" t="s">
        <v>454</v>
      </c>
      <c r="AD17" s="389" t="str">
        <f>'Portafolio P&amp;D'!X7</f>
        <v>Jorge Campos</v>
      </c>
      <c r="AE17" s="150" t="s">
        <v>455</v>
      </c>
      <c r="AF17" s="153"/>
      <c r="AG17" s="149"/>
      <c r="AH17" s="151">
        <f>'Portafolio P&amp;D'!Y7</f>
        <v>45110</v>
      </c>
      <c r="AI17" s="154">
        <f>'Portafolio P&amp;D'!Z7</f>
        <v>46081</v>
      </c>
      <c r="AJ17" s="154"/>
      <c r="AK17" s="155">
        <f>'Portafolio P&amp;D'!AA7</f>
        <v>0.88</v>
      </c>
      <c r="AL17" s="155">
        <f>'Portafolio P&amp;D'!AB7</f>
        <v>0.85</v>
      </c>
      <c r="AM17" s="278">
        <f>IF(DemandaEstrateg_[[#This Row],[Tipo de Requerimiento]]="Proyecto",(DemandaEstrateg_[[#This Row],[% Avance ejecutado]]-DemandaEstrateg_[[#This Row],[% Avance Planificado]])/DemandaEstrateg_[[#This Row],[% Avance Planificado]],"No aplica")</f>
        <v>-3.4090909090909123E-2</v>
      </c>
      <c r="AN17" s="190">
        <f>IF(DemandaEstrateg_[[#This Row],[Tipo de Requerimiento]]="Proyecto",(DemandaEstrateg_[[#This Row],[% Avance ejecutado]]-DemandaEstrateg_[[#This Row],[% Avance Planificado]])/DemandaEstrateg_[[#This Row],[% Avance Planificado]],"No aplica")</f>
        <v>-3.4090909090909123E-2</v>
      </c>
      <c r="AO17" s="190"/>
      <c r="AP17" s="290">
        <v>46062</v>
      </c>
      <c r="AQ17" s="153" t="s">
        <v>359</v>
      </c>
      <c r="AR17" s="153" t="s">
        <v>394</v>
      </c>
      <c r="AS17" s="320" t="s">
        <v>360</v>
      </c>
      <c r="AT17" s="152" t="str">
        <f>VLOOKUP(DemandaEstrateg_[[#This Row],[Estado TI]],Tabla12[],3,FALSE)</f>
        <v>02. En Ejecución</v>
      </c>
      <c r="AU17" s="297" t="s">
        <v>456</v>
      </c>
      <c r="AV17" s="214" t="str">
        <f>'Portafolio P&amp;D'!B7</f>
        <v>PROKDD-EO05-23-4</v>
      </c>
    </row>
    <row r="18" spans="1:48" ht="49.9" customHeight="1" thickBot="1">
      <c r="A18" s="55">
        <v>2250</v>
      </c>
      <c r="B18" s="150" t="s">
        <v>457</v>
      </c>
      <c r="C18" s="150">
        <v>2487</v>
      </c>
      <c r="D18" s="161" t="s">
        <v>458</v>
      </c>
      <c r="E18" s="55" t="s">
        <v>364</v>
      </c>
      <c r="F18" s="58" t="s">
        <v>459</v>
      </c>
      <c r="G18" s="58" t="s">
        <v>460</v>
      </c>
      <c r="H18" s="55" t="s">
        <v>367</v>
      </c>
      <c r="I18" s="55" t="s">
        <v>368</v>
      </c>
      <c r="J18" s="55" t="str">
        <f>'Portafolio P&amp;D'!$G$11</f>
        <v>Luis Garcia; 
Liliana Casafranca</v>
      </c>
      <c r="K18" s="76" t="s">
        <v>369</v>
      </c>
      <c r="L18" s="148">
        <v>45421</v>
      </c>
      <c r="M18" s="149" t="s">
        <v>370</v>
      </c>
      <c r="N18" s="150" t="s">
        <v>349</v>
      </c>
      <c r="O18" s="150" t="s">
        <v>349</v>
      </c>
      <c r="P18" s="150" t="s">
        <v>349</v>
      </c>
      <c r="Q18" s="150" t="s">
        <v>461</v>
      </c>
      <c r="R18" s="150" t="s">
        <v>382</v>
      </c>
      <c r="S18" s="150" t="s">
        <v>392</v>
      </c>
      <c r="T18" s="150" t="s">
        <v>462</v>
      </c>
      <c r="U18" s="150">
        <f>'Portafolio P&amp;D'!Q11</f>
        <v>2021</v>
      </c>
      <c r="V18" s="150">
        <f>'Portafolio P&amp;D'!R11</f>
        <v>2025</v>
      </c>
      <c r="W18" s="158" t="s">
        <v>175</v>
      </c>
      <c r="X18" s="109" t="s">
        <v>373</v>
      </c>
      <c r="Y18" s="149" t="s">
        <v>107</v>
      </c>
      <c r="Z18" s="55" t="s">
        <v>374</v>
      </c>
      <c r="AA18" s="162" t="s">
        <v>355</v>
      </c>
      <c r="AB18" s="150" t="s">
        <v>356</v>
      </c>
      <c r="AC18" s="150" t="s">
        <v>357</v>
      </c>
      <c r="AD18" s="150" t="str">
        <f>'Portafolio P&amp;D'!X11</f>
        <v>Jorge Ruiz</v>
      </c>
      <c r="AE18" s="150" t="s">
        <v>463</v>
      </c>
      <c r="AF18" s="153"/>
      <c r="AG18" s="149"/>
      <c r="AH18" s="151">
        <v>45421</v>
      </c>
      <c r="AI18" s="247">
        <v>45723</v>
      </c>
      <c r="AJ18" s="247"/>
      <c r="AK18" s="155" t="s">
        <v>373</v>
      </c>
      <c r="AL18" s="155" t="s">
        <v>373</v>
      </c>
      <c r="AM18" s="278" t="str">
        <f>IF(DemandaEstrateg_[[#This Row],[Tipo de Requerimiento]]="Proyecto",(DemandaEstrateg_[[#This Row],[% Avance ejecutado]]-DemandaEstrateg_[[#This Row],[% Avance Planificado]])/DemandaEstrateg_[[#This Row],[% Avance Planificado]],"No aplica")</f>
        <v>No aplica</v>
      </c>
      <c r="AN18" s="278" t="str">
        <f>IF(DemandaEstrateg_[[#This Row],[Tipo de Requerimiento]]="Proyecto",(DemandaEstrateg_[[#This Row],[% Avance ejecutado]]-DemandaEstrateg_[[#This Row],[% Avance Planificado]])/DemandaEstrateg_[[#This Row],[% Avance Planificado]],"No aplica")</f>
        <v>No aplica</v>
      </c>
      <c r="AO18" s="190"/>
      <c r="AP18" s="374">
        <v>46023</v>
      </c>
      <c r="AQ18" s="191" t="s">
        <v>359</v>
      </c>
      <c r="AR18" s="153" t="s">
        <v>386</v>
      </c>
      <c r="AS18" s="159" t="str">
        <f>VLOOKUP(DemandaEstrateg_[[#This Row],[Últ. Estado CQ 14.05]],Tabla36[[Estado CQ]:[Estado TI]],3,FALSE)</f>
        <v>03. En Desarrollo</v>
      </c>
      <c r="AT18" s="152" t="str">
        <f>VLOOKUP(DemandaEstrateg_[[#This Row],[Estado TI]],Tabla12[],3,FALSE)</f>
        <v>02. En Ejecución</v>
      </c>
      <c r="AU18" s="79" t="s">
        <v>464</v>
      </c>
      <c r="AV18" s="205" t="s">
        <v>175</v>
      </c>
    </row>
    <row r="19" spans="1:48" ht="49.9" customHeight="1" thickBot="1">
      <c r="A19" s="55">
        <v>2264</v>
      </c>
      <c r="B19" s="150" t="s">
        <v>405</v>
      </c>
      <c r="C19" s="150">
        <v>2487</v>
      </c>
      <c r="D19" s="161" t="s">
        <v>406</v>
      </c>
      <c r="E19" s="55" t="s">
        <v>364</v>
      </c>
      <c r="F19" s="58" t="s">
        <v>465</v>
      </c>
      <c r="G19" s="58" t="s">
        <v>465</v>
      </c>
      <c r="H19" s="55" t="s">
        <v>367</v>
      </c>
      <c r="I19" s="55" t="s">
        <v>368</v>
      </c>
      <c r="J19" s="55" t="str">
        <f>'Portafolio P&amp;D'!$G$11</f>
        <v>Luis Garcia; 
Liliana Casafranca</v>
      </c>
      <c r="K19" s="76" t="s">
        <v>369</v>
      </c>
      <c r="L19" s="148">
        <v>45433</v>
      </c>
      <c r="M19" s="162" t="s">
        <v>370</v>
      </c>
      <c r="N19" s="150" t="s">
        <v>349</v>
      </c>
      <c r="O19" s="150" t="s">
        <v>349</v>
      </c>
      <c r="P19" s="150" t="s">
        <v>349</v>
      </c>
      <c r="Q19" s="150" t="s">
        <v>381</v>
      </c>
      <c r="R19" s="150" t="s">
        <v>382</v>
      </c>
      <c r="S19" s="150" t="s">
        <v>410</v>
      </c>
      <c r="T19" s="150" t="s">
        <v>410</v>
      </c>
      <c r="U19" s="150">
        <f>'Portafolio P&amp;D'!Q11</f>
        <v>2021</v>
      </c>
      <c r="V19" s="150">
        <f>'Portafolio P&amp;D'!R11</f>
        <v>2025</v>
      </c>
      <c r="W19" s="158" t="s">
        <v>175</v>
      </c>
      <c r="X19" s="109" t="s">
        <v>373</v>
      </c>
      <c r="Y19" s="149" t="s">
        <v>107</v>
      </c>
      <c r="Z19" s="55" t="s">
        <v>374</v>
      </c>
      <c r="AA19" s="149" t="s">
        <v>355</v>
      </c>
      <c r="AB19" s="150" t="s">
        <v>356</v>
      </c>
      <c r="AC19" s="150" t="s">
        <v>357</v>
      </c>
      <c r="AD19" s="150" t="str">
        <f>'Portafolio P&amp;D'!X11</f>
        <v>Jorge Ruiz</v>
      </c>
      <c r="AE19" s="150" t="s">
        <v>358</v>
      </c>
      <c r="AF19" s="153"/>
      <c r="AG19" s="151"/>
      <c r="AH19" s="151">
        <v>45442</v>
      </c>
      <c r="AI19" s="247">
        <v>45723</v>
      </c>
      <c r="AJ19" s="247"/>
      <c r="AK19" s="155" t="s">
        <v>373</v>
      </c>
      <c r="AL19" s="155" t="s">
        <v>373</v>
      </c>
      <c r="AM19" s="278" t="str">
        <f>IF(DemandaEstrateg_[[#This Row],[Tipo de Requerimiento]]="Proyecto",(DemandaEstrateg_[[#This Row],[% Avance ejecutado]]-DemandaEstrateg_[[#This Row],[% Avance Planificado]])/DemandaEstrateg_[[#This Row],[% Avance Planificado]],"No aplica")</f>
        <v>No aplica</v>
      </c>
      <c r="AN19" s="278" t="str">
        <f>IF(DemandaEstrateg_[[#This Row],[Tipo de Requerimiento]]="Proyecto",(DemandaEstrateg_[[#This Row],[% Avance ejecutado]]-DemandaEstrateg_[[#This Row],[% Avance Planificado]])/DemandaEstrateg_[[#This Row],[% Avance Planificado]],"No aplica")</f>
        <v>No aplica</v>
      </c>
      <c r="AO19" s="190"/>
      <c r="AP19" s="374" t="s">
        <v>175</v>
      </c>
      <c r="AQ19" s="374" t="s">
        <v>175</v>
      </c>
      <c r="AR19" s="153" t="s">
        <v>175</v>
      </c>
      <c r="AS19" s="424" t="s">
        <v>466</v>
      </c>
      <c r="AT19" s="425" t="s">
        <v>204</v>
      </c>
      <c r="AU19" s="231" t="s">
        <v>467</v>
      </c>
      <c r="AV19" s="205" t="s">
        <v>175</v>
      </c>
    </row>
    <row r="20" spans="1:48" ht="49.9" customHeight="1" thickBot="1">
      <c r="A20" s="55">
        <v>2265</v>
      </c>
      <c r="B20" s="150" t="s">
        <v>412</v>
      </c>
      <c r="C20" s="150">
        <v>2487</v>
      </c>
      <c r="D20" s="161" t="s">
        <v>398</v>
      </c>
      <c r="E20" s="55" t="s">
        <v>364</v>
      </c>
      <c r="F20" s="58" t="s">
        <v>468</v>
      </c>
      <c r="G20" s="58" t="s">
        <v>468</v>
      </c>
      <c r="H20" s="55" t="s">
        <v>367</v>
      </c>
      <c r="I20" s="55" t="s">
        <v>368</v>
      </c>
      <c r="J20" s="55" t="str">
        <f>'Portafolio P&amp;D'!$G$11</f>
        <v>Luis Garcia; 
Liliana Casafranca</v>
      </c>
      <c r="K20" s="76" t="s">
        <v>369</v>
      </c>
      <c r="L20" s="148">
        <v>45433</v>
      </c>
      <c r="M20" s="162" t="s">
        <v>370</v>
      </c>
      <c r="N20" s="150" t="s">
        <v>349</v>
      </c>
      <c r="O20" s="150" t="s">
        <v>349</v>
      </c>
      <c r="P20" s="150" t="s">
        <v>349</v>
      </c>
      <c r="Q20" s="150" t="s">
        <v>381</v>
      </c>
      <c r="R20" s="150" t="s">
        <v>382</v>
      </c>
      <c r="S20" s="150" t="s">
        <v>410</v>
      </c>
      <c r="T20" s="150" t="s">
        <v>410</v>
      </c>
      <c r="U20" s="150">
        <f>'Portafolio P&amp;D'!Q11</f>
        <v>2021</v>
      </c>
      <c r="V20" s="150">
        <f>'Portafolio P&amp;D'!R11</f>
        <v>2025</v>
      </c>
      <c r="W20" s="158" t="s">
        <v>175</v>
      </c>
      <c r="X20" s="109" t="s">
        <v>373</v>
      </c>
      <c r="Y20" s="149" t="s">
        <v>107</v>
      </c>
      <c r="Z20" s="55" t="s">
        <v>374</v>
      </c>
      <c r="AA20" s="149" t="s">
        <v>355</v>
      </c>
      <c r="AB20" s="150" t="s">
        <v>356</v>
      </c>
      <c r="AC20" s="150" t="s">
        <v>357</v>
      </c>
      <c r="AD20" s="150" t="str">
        <f>'Portafolio P&amp;D'!X11</f>
        <v>Jorge Ruiz</v>
      </c>
      <c r="AE20" s="150" t="s">
        <v>358</v>
      </c>
      <c r="AF20" s="153"/>
      <c r="AG20" s="151"/>
      <c r="AH20" s="151">
        <v>45442</v>
      </c>
      <c r="AI20" s="247">
        <v>45723</v>
      </c>
      <c r="AJ20" s="247"/>
      <c r="AK20" s="155" t="s">
        <v>373</v>
      </c>
      <c r="AL20" s="155" t="s">
        <v>373</v>
      </c>
      <c r="AM20" s="278" t="str">
        <f>IF(DemandaEstrateg_[[#This Row],[Tipo de Requerimiento]]="Proyecto",(DemandaEstrateg_[[#This Row],[% Avance ejecutado]]-DemandaEstrateg_[[#This Row],[% Avance Planificado]])/DemandaEstrateg_[[#This Row],[% Avance Planificado]],"No aplica")</f>
        <v>No aplica</v>
      </c>
      <c r="AN20" s="278" t="str">
        <f>IF(DemandaEstrateg_[[#This Row],[Tipo de Requerimiento]]="Proyecto",(DemandaEstrateg_[[#This Row],[% Avance ejecutado]]-DemandaEstrateg_[[#This Row],[% Avance Planificado]])/DemandaEstrateg_[[#This Row],[% Avance Planificado]],"No aplica")</f>
        <v>No aplica</v>
      </c>
      <c r="AO20" s="190"/>
      <c r="AP20" s="375">
        <v>46082</v>
      </c>
      <c r="AQ20" s="153" t="s">
        <v>359</v>
      </c>
      <c r="AR20" s="153" t="s">
        <v>175</v>
      </c>
      <c r="AS20" s="424" t="s">
        <v>466</v>
      </c>
      <c r="AT20" s="425" t="str">
        <f>VLOOKUP(DemandaEstrateg_[[#This Row],[Estado TI]],Tabla12[],3,FALSE)</f>
        <v>05. Descartado</v>
      </c>
      <c r="AU20" s="79" t="s">
        <v>469</v>
      </c>
      <c r="AV20" s="205" t="s">
        <v>175</v>
      </c>
    </row>
    <row r="21" spans="1:48" ht="49.9" customHeight="1" thickBot="1">
      <c r="A21" s="55">
        <v>2288</v>
      </c>
      <c r="B21" s="150" t="s">
        <v>470</v>
      </c>
      <c r="C21" s="150">
        <v>2056</v>
      </c>
      <c r="D21" s="161" t="s">
        <v>471</v>
      </c>
      <c r="E21" s="55" t="s">
        <v>364</v>
      </c>
      <c r="F21" s="58" t="s">
        <v>472</v>
      </c>
      <c r="G21" s="58" t="s">
        <v>473</v>
      </c>
      <c r="H21" s="55" t="s">
        <v>34</v>
      </c>
      <c r="I21" s="55" t="s">
        <v>474</v>
      </c>
      <c r="J21" s="55"/>
      <c r="K21" s="76" t="s">
        <v>369</v>
      </c>
      <c r="L21" s="148">
        <v>45435</v>
      </c>
      <c r="M21" s="162" t="s">
        <v>475</v>
      </c>
      <c r="N21" s="150" t="s">
        <v>382</v>
      </c>
      <c r="O21" s="150" t="s">
        <v>438</v>
      </c>
      <c r="P21" s="150" t="s">
        <v>476</v>
      </c>
      <c r="Q21" s="150" t="s">
        <v>381</v>
      </c>
      <c r="R21" s="150" t="s">
        <v>382</v>
      </c>
      <c r="S21" s="150" t="s">
        <v>410</v>
      </c>
      <c r="T21" s="150" t="s">
        <v>410</v>
      </c>
      <c r="U21" s="150">
        <f>'Portafolio P&amp;D'!Q9</f>
        <v>2023</v>
      </c>
      <c r="V21" s="150">
        <f>'Portafolio P&amp;D'!R9</f>
        <v>2025</v>
      </c>
      <c r="W21" s="158" t="s">
        <v>175</v>
      </c>
      <c r="X21" s="109" t="s">
        <v>373</v>
      </c>
      <c r="Y21" s="149" t="s">
        <v>87</v>
      </c>
      <c r="Z21" s="55" t="s">
        <v>439</v>
      </c>
      <c r="AA21" s="149" t="s">
        <v>440</v>
      </c>
      <c r="AB21" s="55" t="s">
        <v>356</v>
      </c>
      <c r="AC21" s="55" t="s">
        <v>477</v>
      </c>
      <c r="AD21" s="150" t="str">
        <f>'Portafolio P&amp;D'!X9</f>
        <v>Angela Risco</v>
      </c>
      <c r="AE21" s="150" t="s">
        <v>442</v>
      </c>
      <c r="AF21" s="153"/>
      <c r="AG21" s="166"/>
      <c r="AH21" s="151">
        <v>45524</v>
      </c>
      <c r="AI21" s="247">
        <v>45777</v>
      </c>
      <c r="AJ21" s="247"/>
      <c r="AK21" s="155" t="s">
        <v>373</v>
      </c>
      <c r="AL21" s="155" t="s">
        <v>373</v>
      </c>
      <c r="AM21" s="278" t="str">
        <f>IF(DemandaEstrateg_[[#This Row],[Tipo de Requerimiento]]="Proyecto",(DemandaEstrateg_[[#This Row],[% Avance ejecutado]]-DemandaEstrateg_[[#This Row],[% Avance Planificado]])/DemandaEstrateg_[[#This Row],[% Avance Planificado]],"No aplica")</f>
        <v>No aplica</v>
      </c>
      <c r="AN21" s="278" t="str">
        <f>IF(DemandaEstrateg_[[#This Row],[Tipo de Requerimiento]]="Proyecto",(DemandaEstrateg_[[#This Row],[% Avance ejecutado]]-DemandaEstrateg_[[#This Row],[% Avance Planificado]])/DemandaEstrateg_[[#This Row],[% Avance Planificado]],"No aplica")</f>
        <v>No aplica</v>
      </c>
      <c r="AO21" s="190"/>
      <c r="AP21" s="190"/>
      <c r="AQ21" s="153" t="s">
        <v>359</v>
      </c>
      <c r="AR21" s="153" t="s">
        <v>375</v>
      </c>
      <c r="AS21" s="159" t="str">
        <f>VLOOKUP(DemandaEstrateg_[[#This Row],[Últ. Estado CQ 14.05]],Tabla36[[Estado CQ]:[Estado TI]],3,FALSE)</f>
        <v>06. Calidad Finalizado</v>
      </c>
      <c r="AT21" s="152" t="str">
        <f>VLOOKUP(DemandaEstrateg_[[#This Row],[Estado TI]],Tabla12[],3,FALSE)</f>
        <v>02. En Ejecución</v>
      </c>
      <c r="AU21" s="231" t="s">
        <v>478</v>
      </c>
      <c r="AV21" s="205" t="s">
        <v>175</v>
      </c>
    </row>
    <row r="22" spans="1:48" ht="49.9" customHeight="1">
      <c r="A22" s="55">
        <v>2292</v>
      </c>
      <c r="B22" s="150" t="s">
        <v>479</v>
      </c>
      <c r="C22" s="150" t="s">
        <v>175</v>
      </c>
      <c r="D22" s="161" t="s">
        <v>480</v>
      </c>
      <c r="E22" s="55" t="s">
        <v>347</v>
      </c>
      <c r="F22" s="58" t="str">
        <f>'Portafolio P&amp;D'!C10</f>
        <v>Servicio de Implementación y Licenciamiento de un Software para la Gestión del Riesgo Operacional, Seguridad de la Información y Continuidad del Negocio para el BN</v>
      </c>
      <c r="G22" s="58" t="str">
        <f>'Portafolio P&amp;D'!D10</f>
        <v>Fortalecer la Gestión de Riesgo Operacional, Seguridad de la Información y Continuidad del Negocio del Banco de la Nación</v>
      </c>
      <c r="H22" s="55" t="str">
        <f>'Portafolio P&amp;D'!E10</f>
        <v>Riesgos</v>
      </c>
      <c r="I22" s="55" t="str">
        <f>'Portafolio P&amp;D'!F10</f>
        <v>Victoria Galvez</v>
      </c>
      <c r="J22" s="55" t="str">
        <f>'Portafolio P&amp;D'!$G$10</f>
        <v>Diana Mogollon</v>
      </c>
      <c r="K22" s="55" t="str">
        <f>'Portafolio P&amp;D'!H10</f>
        <v>Rina Roca</v>
      </c>
      <c r="L22" s="167">
        <v>45467</v>
      </c>
      <c r="M22" s="168" t="s">
        <v>481</v>
      </c>
      <c r="N22" s="150" t="s">
        <v>482</v>
      </c>
      <c r="O22" s="150" t="s">
        <v>382</v>
      </c>
      <c r="P22" s="150" t="s">
        <v>382</v>
      </c>
      <c r="Q22" s="150" t="s">
        <v>483</v>
      </c>
      <c r="R22" s="150" t="s">
        <v>382</v>
      </c>
      <c r="S22" s="150" t="s">
        <v>410</v>
      </c>
      <c r="T22" s="150" t="s">
        <v>410</v>
      </c>
      <c r="U22" s="150">
        <f>'Portafolio P&amp;D'!Q10</f>
        <v>2023</v>
      </c>
      <c r="V22" s="150">
        <f>'Portafolio P&amp;D'!R10</f>
        <v>2025</v>
      </c>
      <c r="W22" s="76">
        <f>'Portafolio P&amp;D'!M10</f>
        <v>45121</v>
      </c>
      <c r="X22" s="277">
        <f>'Portafolio P&amp;D'!I10</f>
        <v>1884223</v>
      </c>
      <c r="Y22" s="149" t="s">
        <v>99</v>
      </c>
      <c r="Z22" s="55" t="s">
        <v>374</v>
      </c>
      <c r="AA22" s="149" t="s">
        <v>484</v>
      </c>
      <c r="AB22" s="150" t="s">
        <v>434</v>
      </c>
      <c r="AC22" s="150" t="s">
        <v>485</v>
      </c>
      <c r="AD22" s="150" t="str">
        <f>'Portafolio P&amp;D'!X10</f>
        <v>Jorge Mora</v>
      </c>
      <c r="AE22" s="150" t="s">
        <v>486</v>
      </c>
      <c r="AF22" s="153"/>
      <c r="AG22" s="149"/>
      <c r="AH22" s="151">
        <v>45427</v>
      </c>
      <c r="AI22" s="154">
        <v>46044</v>
      </c>
      <c r="AJ22" s="154"/>
      <c r="AK22" s="155">
        <v>1</v>
      </c>
      <c r="AL22" s="155">
        <v>0.94</v>
      </c>
      <c r="AM22" s="278">
        <f>IF(DemandaEstrateg_[[#This Row],[Tipo de Requerimiento]]="Proyecto",(DemandaEstrateg_[[#This Row],[% Avance ejecutado]]-DemandaEstrateg_[[#This Row],[% Avance Planificado]])/DemandaEstrateg_[[#This Row],[% Avance Planificado]],"No aplica")</f>
        <v>-6.0000000000000053E-2</v>
      </c>
      <c r="AN22" s="190">
        <f>IF(DemandaEstrateg_[[#This Row],[Tipo de Requerimiento]]="Proyecto",(DemandaEstrateg_[[#This Row],[% Avance ejecutado]]-DemandaEstrateg_[[#This Row],[% Avance Planificado]])/DemandaEstrateg_[[#This Row],[% Avance Planificado]],"No aplica")</f>
        <v>-6.0000000000000053E-2</v>
      </c>
      <c r="AO22" s="190"/>
      <c r="AP22" s="446">
        <v>46023</v>
      </c>
      <c r="AQ22" s="153" t="s">
        <v>359</v>
      </c>
      <c r="AR22" s="153" t="s">
        <v>487</v>
      </c>
      <c r="AS22" s="320" t="s">
        <v>488</v>
      </c>
      <c r="AT22" s="152" t="str">
        <f>VLOOKUP(DemandaEstrateg_[[#This Row],[Estado TI]],Tabla12[],3,FALSE)</f>
        <v>02. En Ejecución</v>
      </c>
      <c r="AU22" s="297" t="s">
        <v>489</v>
      </c>
      <c r="AV22" s="214" t="str">
        <f>'Portafolio P&amp;D'!B10</f>
        <v>PROGRO-EO08-23-12</v>
      </c>
    </row>
    <row r="23" spans="1:48" ht="49.9" customHeight="1" thickBot="1">
      <c r="A23" s="55">
        <v>2316</v>
      </c>
      <c r="B23" s="150" t="s">
        <v>175</v>
      </c>
      <c r="C23" s="150" t="s">
        <v>175</v>
      </c>
      <c r="D23" s="150" t="s">
        <v>175</v>
      </c>
      <c r="E23" s="55" t="s">
        <v>347</v>
      </c>
      <c r="F23" s="58" t="str">
        <f>'Portafolio P&amp;D'!C33</f>
        <v>Traslado y Alojamiento de Infraestructura Tecnológica del actual Centro de datos de respaldo BN - San Isidro</v>
      </c>
      <c r="G23" s="58" t="str">
        <f>'Portafolio P&amp;D'!D33</f>
        <v>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v>
      </c>
      <c r="H23" s="163" t="str">
        <f>'Portafolio P&amp;D'!E33</f>
        <v>Tecnologías de Información</v>
      </c>
      <c r="I23" s="163" t="str">
        <f>'Portafolio P&amp;D'!F33</f>
        <v>Alejandro Sifuentes</v>
      </c>
      <c r="J23" s="55" t="str">
        <f>'Portafolio P&amp;D'!G33</f>
        <v>-</v>
      </c>
      <c r="K23" s="55" t="str">
        <f>'Portafolio P&amp;D'!H33</f>
        <v>Maria Isabel Elguera</v>
      </c>
      <c r="L23" s="169">
        <v>45469</v>
      </c>
      <c r="M23" s="162" t="s">
        <v>370</v>
      </c>
      <c r="N23" s="150" t="s">
        <v>349</v>
      </c>
      <c r="O23" s="150" t="s">
        <v>373</v>
      </c>
      <c r="P23" s="150" t="s">
        <v>373</v>
      </c>
      <c r="Q23" s="150" t="s">
        <v>97</v>
      </c>
      <c r="R23" s="150" t="s">
        <v>382</v>
      </c>
      <c r="S23" s="150" t="s">
        <v>401</v>
      </c>
      <c r="T23" s="150" t="s">
        <v>401</v>
      </c>
      <c r="U23" s="150">
        <f>'Portafolio P&amp;D'!Q33</f>
        <v>2024</v>
      </c>
      <c r="V23" s="150">
        <f>'Portafolio P&amp;D'!R33</f>
        <v>2025</v>
      </c>
      <c r="W23" s="76">
        <f>'Portafolio P&amp;D'!M33</f>
        <v>45376</v>
      </c>
      <c r="X23" s="277">
        <f>'Portafolio P&amp;D'!I33</f>
        <v>0</v>
      </c>
      <c r="Y23" s="149" t="s">
        <v>240</v>
      </c>
      <c r="Z23" s="55" t="s">
        <v>439</v>
      </c>
      <c r="AA23" s="149" t="s">
        <v>175</v>
      </c>
      <c r="AB23" s="150" t="s">
        <v>490</v>
      </c>
      <c r="AC23" s="150" t="s">
        <v>491</v>
      </c>
      <c r="AD23" s="150" t="str">
        <f>'Portafolio P&amp;D'!X33</f>
        <v>Jesus Chavarría</v>
      </c>
      <c r="AE23" s="150" t="s">
        <v>492</v>
      </c>
      <c r="AF23" s="153"/>
      <c r="AG23" s="151" t="s">
        <v>373</v>
      </c>
      <c r="AH23" s="151">
        <f>'Portafolio P&amp;D'!Y33</f>
        <v>45338</v>
      </c>
      <c r="AI23" s="154">
        <f>'Portafolio P&amp;D'!Z33</f>
        <v>45846</v>
      </c>
      <c r="AJ23" s="154"/>
      <c r="AK23" s="155">
        <f>'Portafolio P&amp;D'!AA33</f>
        <v>0.9</v>
      </c>
      <c r="AL23" s="155">
        <f>'Portafolio P&amp;D'!AB33</f>
        <v>0.26</v>
      </c>
      <c r="AM23" s="278">
        <f>IF(DemandaEstrateg_[[#This Row],[Tipo de Requerimiento]]="Proyecto",(DemandaEstrateg_[[#This Row],[% Avance ejecutado]]-DemandaEstrateg_[[#This Row],[% Avance Planificado]])/DemandaEstrateg_[[#This Row],[% Avance Planificado]],"No aplica")</f>
        <v>-0.71111111111111114</v>
      </c>
      <c r="AN23" s="190">
        <f>IF(DemandaEstrateg_[[#This Row],[Tipo de Requerimiento]]="Proyecto",(DemandaEstrateg_[[#This Row],[% Avance ejecutado]]-DemandaEstrateg_[[#This Row],[% Avance Planificado]])/DemandaEstrateg_[[#This Row],[% Avance Planificado]],"No aplica")</f>
        <v>-0.71111111111111114</v>
      </c>
      <c r="AO23" s="190"/>
      <c r="AP23" s="291">
        <v>45839</v>
      </c>
      <c r="AQ23" s="153" t="s">
        <v>448</v>
      </c>
      <c r="AR23" s="153" t="s">
        <v>394</v>
      </c>
      <c r="AS23" s="320" t="s">
        <v>449</v>
      </c>
      <c r="AT23" s="317" t="str">
        <f>VLOOKUP(DemandaEstrateg_[[#This Row],[Estado TI]],Tabla12[],3,FALSE)</f>
        <v>04. Finalizado</v>
      </c>
      <c r="AU23" s="462" t="s">
        <v>493</v>
      </c>
      <c r="AV23" s="214" t="str">
        <f>'Portafolio P&amp;D'!B33</f>
        <v>PROTAIT-EO10-24-36</v>
      </c>
    </row>
    <row r="24" spans="1:48" ht="49.9" customHeight="1" thickBot="1">
      <c r="A24" s="55">
        <v>2340</v>
      </c>
      <c r="B24" s="150" t="s">
        <v>494</v>
      </c>
      <c r="C24" s="150">
        <v>2487</v>
      </c>
      <c r="D24" s="161" t="s">
        <v>495</v>
      </c>
      <c r="E24" s="55" t="s">
        <v>364</v>
      </c>
      <c r="F24" s="58" t="s">
        <v>496</v>
      </c>
      <c r="G24" s="170" t="s">
        <v>497</v>
      </c>
      <c r="H24" s="55" t="s">
        <v>367</v>
      </c>
      <c r="I24" s="55" t="s">
        <v>368</v>
      </c>
      <c r="J24" s="55" t="str">
        <f>'Portafolio P&amp;D'!$G$11</f>
        <v>Luis Garcia; 
Liliana Casafranca</v>
      </c>
      <c r="K24" s="76" t="s">
        <v>369</v>
      </c>
      <c r="L24" s="148">
        <v>45505</v>
      </c>
      <c r="M24" s="162" t="s">
        <v>370</v>
      </c>
      <c r="N24" s="150" t="s">
        <v>349</v>
      </c>
      <c r="O24" s="150" t="s">
        <v>349</v>
      </c>
      <c r="P24" s="150" t="s">
        <v>349</v>
      </c>
      <c r="Q24" s="150" t="s">
        <v>461</v>
      </c>
      <c r="R24" s="150" t="s">
        <v>382</v>
      </c>
      <c r="S24" s="150" t="s">
        <v>392</v>
      </c>
      <c r="T24" s="150" t="s">
        <v>462</v>
      </c>
      <c r="U24" s="150">
        <f>'Portafolio P&amp;D'!Q11</f>
        <v>2021</v>
      </c>
      <c r="V24" s="150">
        <f>'Portafolio P&amp;D'!R11</f>
        <v>2025</v>
      </c>
      <c r="W24" s="158" t="s">
        <v>175</v>
      </c>
      <c r="X24" s="109" t="s">
        <v>373</v>
      </c>
      <c r="Y24" s="149" t="s">
        <v>107</v>
      </c>
      <c r="Z24" s="55" t="s">
        <v>374</v>
      </c>
      <c r="AA24" s="149" t="s">
        <v>355</v>
      </c>
      <c r="AB24" s="150" t="s">
        <v>356</v>
      </c>
      <c r="AC24" s="150" t="s">
        <v>357</v>
      </c>
      <c r="AD24" s="150" t="str">
        <f>'Portafolio P&amp;D'!X11</f>
        <v>Jorge Ruiz</v>
      </c>
      <c r="AE24" s="150" t="s">
        <v>498</v>
      </c>
      <c r="AF24" s="153"/>
      <c r="AG24" s="149"/>
      <c r="AH24" s="151">
        <v>45505</v>
      </c>
      <c r="AI24" s="247">
        <v>45723</v>
      </c>
      <c r="AJ24" s="247"/>
      <c r="AK24" s="155" t="s">
        <v>373</v>
      </c>
      <c r="AL24" s="155" t="s">
        <v>373</v>
      </c>
      <c r="AM24" s="278" t="str">
        <f>IF(DemandaEstrateg_[[#This Row],[Tipo de Requerimiento]]="Proyecto",(DemandaEstrateg_[[#This Row],[% Avance ejecutado]]-DemandaEstrateg_[[#This Row],[% Avance Planificado]])/DemandaEstrateg_[[#This Row],[% Avance Planificado]],"No aplica")</f>
        <v>No aplica</v>
      </c>
      <c r="AN24" s="278" t="str">
        <f>IF(DemandaEstrateg_[[#This Row],[Tipo de Requerimiento]]="Proyecto",(DemandaEstrateg_[[#This Row],[% Avance ejecutado]]-DemandaEstrateg_[[#This Row],[% Avance Planificado]])/DemandaEstrateg_[[#This Row],[% Avance Planificado]],"No aplica")</f>
        <v>No aplica</v>
      </c>
      <c r="AO24" s="190"/>
      <c r="AP24" s="374">
        <v>46023</v>
      </c>
      <c r="AQ24" s="191" t="s">
        <v>359</v>
      </c>
      <c r="AR24" s="153" t="s">
        <v>386</v>
      </c>
      <c r="AS24" s="159" t="str">
        <f>VLOOKUP(DemandaEstrateg_[[#This Row],[Últ. Estado CQ 14.05]],Tabla36[[Estado CQ]:[Estado TI]],3,FALSE)</f>
        <v>03. En Desarrollo</v>
      </c>
      <c r="AT24" s="152" t="str">
        <f>VLOOKUP(DemandaEstrateg_[[#This Row],[Estado TI]],Tabla12[],3,FALSE)</f>
        <v>02. En Ejecución</v>
      </c>
      <c r="AU24" s="231" t="s">
        <v>499</v>
      </c>
      <c r="AV24" s="205" t="s">
        <v>175</v>
      </c>
    </row>
    <row r="25" spans="1:48" ht="49.9" customHeight="1" thickBot="1">
      <c r="A25" s="55">
        <v>2353</v>
      </c>
      <c r="B25" s="150" t="s">
        <v>500</v>
      </c>
      <c r="C25" s="159">
        <v>1753</v>
      </c>
      <c r="D25" s="161" t="s">
        <v>501</v>
      </c>
      <c r="E25" s="55" t="s">
        <v>364</v>
      </c>
      <c r="F25" s="58" t="s">
        <v>502</v>
      </c>
      <c r="G25" s="58" t="s">
        <v>503</v>
      </c>
      <c r="H25" s="55" t="s">
        <v>113</v>
      </c>
      <c r="I25" s="55" t="s">
        <v>368</v>
      </c>
      <c r="J25" s="55" t="str">
        <f>'Portafolio P&amp;D'!$G$11</f>
        <v>Luis Garcia; 
Liliana Casafranca</v>
      </c>
      <c r="K25" s="76" t="s">
        <v>369</v>
      </c>
      <c r="L25" s="148">
        <v>45513</v>
      </c>
      <c r="M25" s="162" t="s">
        <v>370</v>
      </c>
      <c r="N25" s="150" t="s">
        <v>349</v>
      </c>
      <c r="O25" s="150" t="s">
        <v>373</v>
      </c>
      <c r="P25" s="150" t="s">
        <v>373</v>
      </c>
      <c r="Q25" s="150" t="s">
        <v>461</v>
      </c>
      <c r="R25" s="150" t="s">
        <v>382</v>
      </c>
      <c r="S25" s="150" t="s">
        <v>410</v>
      </c>
      <c r="T25" s="150" t="s">
        <v>410</v>
      </c>
      <c r="U25" s="150">
        <f>'Portafolio P&amp;D'!Q11</f>
        <v>2021</v>
      </c>
      <c r="V25" s="150">
        <f>'Portafolio P&amp;D'!R11</f>
        <v>2025</v>
      </c>
      <c r="W25" s="158" t="s">
        <v>394</v>
      </c>
      <c r="X25" s="109" t="s">
        <v>373</v>
      </c>
      <c r="Y25" s="149" t="s">
        <v>107</v>
      </c>
      <c r="Z25" s="55" t="s">
        <v>374</v>
      </c>
      <c r="AA25" s="149" t="s">
        <v>355</v>
      </c>
      <c r="AB25" s="150" t="s">
        <v>356</v>
      </c>
      <c r="AC25" s="150" t="s">
        <v>357</v>
      </c>
      <c r="AD25" s="150" t="str">
        <f>'Portafolio P&amp;D'!X11</f>
        <v>Jorge Ruiz</v>
      </c>
      <c r="AE25" s="150" t="s">
        <v>358</v>
      </c>
      <c r="AF25" s="153"/>
      <c r="AG25" s="149"/>
      <c r="AH25" s="151">
        <v>45513</v>
      </c>
      <c r="AI25" s="247">
        <v>45723</v>
      </c>
      <c r="AJ25" s="247">
        <v>46050</v>
      </c>
      <c r="AK25" s="155" t="s">
        <v>373</v>
      </c>
      <c r="AL25" s="155" t="s">
        <v>373</v>
      </c>
      <c r="AM25" s="278" t="str">
        <f>IF(DemandaEstrateg_[[#This Row],[Tipo de Requerimiento]]="Proyecto",(DemandaEstrateg_[[#This Row],[% Avance ejecutado]]-DemandaEstrateg_[[#This Row],[% Avance Planificado]])/DemandaEstrateg_[[#This Row],[% Avance Planificado]],"No aplica")</f>
        <v>No aplica</v>
      </c>
      <c r="AN25" s="278" t="str">
        <f>IF(DemandaEstrateg_[[#This Row],[Tipo de Requerimiento]]="Proyecto",(DemandaEstrateg_[[#This Row],[% Avance ejecutado]]-DemandaEstrateg_[[#This Row],[% Avance Planificado]])/DemandaEstrateg_[[#This Row],[% Avance Planificado]],"No aplica")</f>
        <v>No aplica</v>
      </c>
      <c r="AO25" s="190"/>
      <c r="AP25" s="375">
        <v>45992</v>
      </c>
      <c r="AQ25" s="153" t="s">
        <v>421</v>
      </c>
      <c r="AR25" s="153" t="s">
        <v>422</v>
      </c>
      <c r="AS25" s="159" t="str">
        <f>VLOOKUP(DemandaEstrateg_[[#This Row],[Últ. Estado CQ 14.05]],Tabla36[[Estado CQ]:[Estado TI]],3,FALSE)</f>
        <v>08. Producción Finalizada</v>
      </c>
      <c r="AT25" s="152" t="str">
        <f>VLOOKUP(DemandaEstrateg_[[#This Row],[Estado TI]],Tabla12[],3,FALSE)</f>
        <v>03. Implementado</v>
      </c>
      <c r="AU25" s="233" t="s">
        <v>504</v>
      </c>
      <c r="AV25" s="205" t="s">
        <v>175</v>
      </c>
    </row>
    <row r="26" spans="1:48" ht="49.9" customHeight="1" thickBot="1">
      <c r="A26" s="55">
        <v>2400</v>
      </c>
      <c r="B26" s="150" t="s">
        <v>505</v>
      </c>
      <c r="C26" s="150">
        <v>2487</v>
      </c>
      <c r="D26" s="161" t="s">
        <v>506</v>
      </c>
      <c r="E26" s="55" t="s">
        <v>364</v>
      </c>
      <c r="F26" s="58" t="s">
        <v>507</v>
      </c>
      <c r="G26" s="58" t="s">
        <v>508</v>
      </c>
      <c r="H26" s="55" t="s">
        <v>367</v>
      </c>
      <c r="I26" s="55" t="s">
        <v>368</v>
      </c>
      <c r="J26" s="55" t="str">
        <f>'Portafolio P&amp;D'!$G$11</f>
        <v>Luis Garcia; 
Liliana Casafranca</v>
      </c>
      <c r="K26" s="76" t="s">
        <v>369</v>
      </c>
      <c r="L26" s="148">
        <v>45520</v>
      </c>
      <c r="M26" s="149" t="s">
        <v>370</v>
      </c>
      <c r="N26" s="150" t="s">
        <v>349</v>
      </c>
      <c r="O26" s="150" t="s">
        <v>349</v>
      </c>
      <c r="P26" s="150" t="s">
        <v>349</v>
      </c>
      <c r="Q26" s="150" t="s">
        <v>461</v>
      </c>
      <c r="R26" s="150" t="s">
        <v>382</v>
      </c>
      <c r="S26" s="150" t="s">
        <v>392</v>
      </c>
      <c r="T26" s="150" t="s">
        <v>462</v>
      </c>
      <c r="U26" s="150">
        <f>'Portafolio P&amp;D'!Q11</f>
        <v>2021</v>
      </c>
      <c r="V26" s="150">
        <f>'Portafolio P&amp;D'!R11</f>
        <v>2025</v>
      </c>
      <c r="W26" s="158">
        <v>45533</v>
      </c>
      <c r="X26" s="109" t="s">
        <v>373</v>
      </c>
      <c r="Y26" s="149" t="s">
        <v>107</v>
      </c>
      <c r="Z26" s="55" t="s">
        <v>374</v>
      </c>
      <c r="AA26" s="149" t="s">
        <v>355</v>
      </c>
      <c r="AB26" s="55" t="s">
        <v>356</v>
      </c>
      <c r="AC26" s="150" t="s">
        <v>357</v>
      </c>
      <c r="AD26" s="150" t="str">
        <f>'Portafolio P&amp;D'!X11</f>
        <v>Jorge Ruiz</v>
      </c>
      <c r="AE26" s="150" t="s">
        <v>498</v>
      </c>
      <c r="AF26" s="153"/>
      <c r="AG26" s="149"/>
      <c r="AH26" s="151">
        <v>45520</v>
      </c>
      <c r="AI26" s="247">
        <v>45723</v>
      </c>
      <c r="AJ26" s="247"/>
      <c r="AK26" s="155" t="s">
        <v>373</v>
      </c>
      <c r="AL26" s="155" t="s">
        <v>373</v>
      </c>
      <c r="AM26" s="278" t="str">
        <f>IF(DemandaEstrateg_[[#This Row],[Tipo de Requerimiento]]="Proyecto",(DemandaEstrateg_[[#This Row],[% Avance ejecutado]]-DemandaEstrateg_[[#This Row],[% Avance Planificado]])/DemandaEstrateg_[[#This Row],[% Avance Planificado]],"No aplica")</f>
        <v>No aplica</v>
      </c>
      <c r="AN26" s="278" t="str">
        <f>IF(DemandaEstrateg_[[#This Row],[Tipo de Requerimiento]]="Proyecto",(DemandaEstrateg_[[#This Row],[% Avance ejecutado]]-DemandaEstrateg_[[#This Row],[% Avance Planificado]])/DemandaEstrateg_[[#This Row],[% Avance Planificado]],"No aplica")</f>
        <v>No aplica</v>
      </c>
      <c r="AO26" s="190"/>
      <c r="AP26" s="374">
        <v>46023</v>
      </c>
      <c r="AQ26" s="191" t="s">
        <v>359</v>
      </c>
      <c r="AR26" s="153" t="s">
        <v>386</v>
      </c>
      <c r="AS26" s="159" t="str">
        <f>VLOOKUP(DemandaEstrateg_[[#This Row],[Últ. Estado CQ 14.05]],Tabla36[[Estado CQ]:[Estado TI]],3,FALSE)</f>
        <v>03. En Desarrollo</v>
      </c>
      <c r="AT26" s="152" t="str">
        <f>VLOOKUP(DemandaEstrateg_[[#This Row],[Estado TI]],Tabla12[],3,FALSE)</f>
        <v>02. En Ejecución</v>
      </c>
      <c r="AU26" s="79" t="s">
        <v>509</v>
      </c>
      <c r="AV26" s="205" t="s">
        <v>175</v>
      </c>
    </row>
    <row r="27" spans="1:48" ht="49.9" customHeight="1" thickBot="1">
      <c r="A27" s="55">
        <v>2401</v>
      </c>
      <c r="B27" s="150" t="s">
        <v>510</v>
      </c>
      <c r="C27" s="150">
        <v>2487</v>
      </c>
      <c r="D27" s="161" t="s">
        <v>511</v>
      </c>
      <c r="E27" s="55" t="s">
        <v>364</v>
      </c>
      <c r="F27" s="58" t="s">
        <v>512</v>
      </c>
      <c r="G27" s="58" t="s">
        <v>513</v>
      </c>
      <c r="H27" s="55" t="s">
        <v>367</v>
      </c>
      <c r="I27" s="55" t="s">
        <v>368</v>
      </c>
      <c r="J27" s="55" t="str">
        <f>'Portafolio P&amp;D'!$G$11</f>
        <v>Luis Garcia; 
Liliana Casafranca</v>
      </c>
      <c r="K27" s="76" t="s">
        <v>369</v>
      </c>
      <c r="L27" s="148">
        <v>45520</v>
      </c>
      <c r="M27" s="149" t="s">
        <v>370</v>
      </c>
      <c r="N27" s="150" t="s">
        <v>349</v>
      </c>
      <c r="O27" s="150" t="s">
        <v>349</v>
      </c>
      <c r="P27" s="150" t="s">
        <v>349</v>
      </c>
      <c r="Q27" s="150" t="s">
        <v>461</v>
      </c>
      <c r="R27" s="150" t="s">
        <v>382</v>
      </c>
      <c r="S27" s="150" t="s">
        <v>392</v>
      </c>
      <c r="T27" s="150" t="s">
        <v>462</v>
      </c>
      <c r="U27" s="150">
        <f>'Portafolio P&amp;D'!Q11</f>
        <v>2021</v>
      </c>
      <c r="V27" s="150">
        <f>'Portafolio P&amp;D'!R11</f>
        <v>2025</v>
      </c>
      <c r="W27" s="158">
        <v>45533</v>
      </c>
      <c r="X27" s="109" t="s">
        <v>373</v>
      </c>
      <c r="Y27" s="149" t="s">
        <v>107</v>
      </c>
      <c r="Z27" s="55" t="s">
        <v>374</v>
      </c>
      <c r="AA27" s="149" t="s">
        <v>355</v>
      </c>
      <c r="AB27" s="55" t="s">
        <v>356</v>
      </c>
      <c r="AC27" s="150" t="s">
        <v>357</v>
      </c>
      <c r="AD27" s="150" t="str">
        <f>'Portafolio P&amp;D'!X11</f>
        <v>Jorge Ruiz</v>
      </c>
      <c r="AE27" s="150" t="s">
        <v>498</v>
      </c>
      <c r="AF27" s="153"/>
      <c r="AG27" s="149"/>
      <c r="AH27" s="151">
        <v>45520</v>
      </c>
      <c r="AI27" s="247">
        <v>45723</v>
      </c>
      <c r="AJ27" s="247"/>
      <c r="AK27" s="155" t="s">
        <v>373</v>
      </c>
      <c r="AL27" s="155" t="s">
        <v>373</v>
      </c>
      <c r="AM27" s="278" t="str">
        <f>IF(DemandaEstrateg_[[#This Row],[Tipo de Requerimiento]]="Proyecto",(DemandaEstrateg_[[#This Row],[% Avance ejecutado]]-DemandaEstrateg_[[#This Row],[% Avance Planificado]])/DemandaEstrateg_[[#This Row],[% Avance Planificado]],"No aplica")</f>
        <v>No aplica</v>
      </c>
      <c r="AN27" s="278" t="str">
        <f>IF(DemandaEstrateg_[[#This Row],[Tipo de Requerimiento]]="Proyecto",(DemandaEstrateg_[[#This Row],[% Avance ejecutado]]-DemandaEstrateg_[[#This Row],[% Avance Planificado]])/DemandaEstrateg_[[#This Row],[% Avance Planificado]],"No aplica")</f>
        <v>No aplica</v>
      </c>
      <c r="AO27" s="190"/>
      <c r="AP27" s="374">
        <v>46023</v>
      </c>
      <c r="AQ27" s="191" t="s">
        <v>359</v>
      </c>
      <c r="AR27" s="153" t="s">
        <v>386</v>
      </c>
      <c r="AS27" s="159" t="str">
        <f>VLOOKUP(DemandaEstrateg_[[#This Row],[Últ. Estado CQ 14.05]],Tabla36[[Estado CQ]:[Estado TI]],3,FALSE)</f>
        <v>03. En Desarrollo</v>
      </c>
      <c r="AT27" s="152" t="str">
        <f>VLOOKUP(DemandaEstrateg_[[#This Row],[Estado TI]],Tabla12[],3,FALSE)</f>
        <v>02. En Ejecución</v>
      </c>
      <c r="AU27" s="79" t="s">
        <v>509</v>
      </c>
      <c r="AV27" s="205" t="s">
        <v>175</v>
      </c>
    </row>
    <row r="28" spans="1:48" ht="49.9" customHeight="1" thickBot="1">
      <c r="A28" s="163">
        <v>2405</v>
      </c>
      <c r="B28" s="159" t="s">
        <v>514</v>
      </c>
      <c r="C28" s="159">
        <v>1753</v>
      </c>
      <c r="D28" s="161" t="s">
        <v>515</v>
      </c>
      <c r="E28" s="55" t="s">
        <v>364</v>
      </c>
      <c r="F28" s="58" t="s">
        <v>516</v>
      </c>
      <c r="G28" s="58" t="s">
        <v>517</v>
      </c>
      <c r="H28" s="163" t="s">
        <v>93</v>
      </c>
      <c r="I28" s="55" t="s">
        <v>368</v>
      </c>
      <c r="J28" s="55" t="str">
        <f>'Portafolio P&amp;D'!$G$11</f>
        <v>Luis Garcia; 
Liliana Casafranca</v>
      </c>
      <c r="K28" s="76" t="s">
        <v>369</v>
      </c>
      <c r="L28" s="148">
        <v>45532</v>
      </c>
      <c r="M28" s="162" t="s">
        <v>518</v>
      </c>
      <c r="N28" s="150" t="s">
        <v>349</v>
      </c>
      <c r="O28" s="150" t="s">
        <v>349</v>
      </c>
      <c r="P28" s="150" t="s">
        <v>349</v>
      </c>
      <c r="Q28" s="150" t="s">
        <v>381</v>
      </c>
      <c r="R28" s="150" t="s">
        <v>382</v>
      </c>
      <c r="S28" s="150" t="s">
        <v>410</v>
      </c>
      <c r="T28" s="150" t="s">
        <v>410</v>
      </c>
      <c r="U28" s="150">
        <f>'Portafolio P&amp;D'!Q11</f>
        <v>2021</v>
      </c>
      <c r="V28" s="150">
        <f>'Portafolio P&amp;D'!R11</f>
        <v>2025</v>
      </c>
      <c r="W28" s="158" t="s">
        <v>175</v>
      </c>
      <c r="X28" s="109" t="s">
        <v>373</v>
      </c>
      <c r="Y28" s="149" t="s">
        <v>107</v>
      </c>
      <c r="Z28" s="55" t="s">
        <v>374</v>
      </c>
      <c r="AA28" s="149" t="s">
        <v>355</v>
      </c>
      <c r="AB28" s="150" t="s">
        <v>420</v>
      </c>
      <c r="AC28" s="150" t="s">
        <v>357</v>
      </c>
      <c r="AD28" s="150" t="str">
        <f>'Portafolio P&amp;D'!X11</f>
        <v>Jorge Ruiz</v>
      </c>
      <c r="AE28" s="150" t="s">
        <v>519</v>
      </c>
      <c r="AF28" s="153"/>
      <c r="AG28" s="149"/>
      <c r="AH28" s="151">
        <v>45547</v>
      </c>
      <c r="AI28" s="247">
        <v>45723</v>
      </c>
      <c r="AJ28" s="247"/>
      <c r="AK28" s="155" t="s">
        <v>373</v>
      </c>
      <c r="AL28" s="155" t="s">
        <v>373</v>
      </c>
      <c r="AM28" s="278" t="str">
        <f>IF(DemandaEstrateg_[[#This Row],[Tipo de Requerimiento]]="Proyecto",(DemandaEstrateg_[[#This Row],[% Avance ejecutado]]-DemandaEstrateg_[[#This Row],[% Avance Planificado]])/DemandaEstrateg_[[#This Row],[% Avance Planificado]],"No aplica")</f>
        <v>No aplica</v>
      </c>
      <c r="AN28" s="278" t="str">
        <f>IF(DemandaEstrateg_[[#This Row],[Tipo de Requerimiento]]="Proyecto",(DemandaEstrateg_[[#This Row],[% Avance ejecutado]]-DemandaEstrateg_[[#This Row],[% Avance Planificado]])/DemandaEstrateg_[[#This Row],[% Avance Planificado]],"No aplica")</f>
        <v>No aplica</v>
      </c>
      <c r="AO28" s="190"/>
      <c r="AP28" s="375">
        <v>45992</v>
      </c>
      <c r="AQ28" s="153" t="s">
        <v>421</v>
      </c>
      <c r="AR28" s="450" t="s">
        <v>520</v>
      </c>
      <c r="AS28" s="424" t="str">
        <f>VLOOKUP(DemandaEstrateg_[[#This Row],[Últ. Estado CQ 14.05]],Tabla36[[Estado CQ]:[Estado TI]],3,FALSE)</f>
        <v>10. Descartado</v>
      </c>
      <c r="AT28" s="425" t="str">
        <f>VLOOKUP(DemandaEstrateg_[[#This Row],[Estado TI]],Tabla12[],3,FALSE)</f>
        <v>05. Descartado</v>
      </c>
      <c r="AU28" s="231" t="s">
        <v>521</v>
      </c>
      <c r="AV28" s="205" t="s">
        <v>175</v>
      </c>
    </row>
    <row r="29" spans="1:48" ht="49.9" customHeight="1">
      <c r="A29" s="55">
        <v>2314</v>
      </c>
      <c r="B29" s="150" t="s">
        <v>175</v>
      </c>
      <c r="C29" s="150" t="s">
        <v>175</v>
      </c>
      <c r="D29" s="150" t="s">
        <v>175</v>
      </c>
      <c r="E29" s="55" t="s">
        <v>347</v>
      </c>
      <c r="F29" s="58" t="str">
        <f>'Portafolio P&amp;D'!C34</f>
        <v>Tarjeta Tesoro</v>
      </c>
      <c r="G29" s="58" t="str">
        <f>'Portafolio P&amp;D'!D34</f>
        <v>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v>
      </c>
      <c r="H29" s="55" t="str">
        <f>'Portafolio P&amp;D'!E34</f>
        <v>Productos e Inclusión Financiera</v>
      </c>
      <c r="I29" s="55" t="str">
        <f>'Portafolio P&amp;D'!F34</f>
        <v>Cecilia Arias</v>
      </c>
      <c r="J29" s="55" t="str">
        <f>'Portafolio P&amp;D'!$G$34</f>
        <v>Peter Valencia</v>
      </c>
      <c r="K29" s="55" t="str">
        <f>'Portafolio P&amp;D'!$H$34</f>
        <v>Juan Carlos Palomino</v>
      </c>
      <c r="L29" s="148">
        <v>45468</v>
      </c>
      <c r="M29" s="162" t="s">
        <v>522</v>
      </c>
      <c r="N29" s="150" t="s">
        <v>382</v>
      </c>
      <c r="O29" s="150" t="s">
        <v>523</v>
      </c>
      <c r="P29" s="150" t="s">
        <v>524</v>
      </c>
      <c r="Q29" s="150" t="s">
        <v>381</v>
      </c>
      <c r="R29" s="150" t="s">
        <v>382</v>
      </c>
      <c r="S29" s="150" t="s">
        <v>401</v>
      </c>
      <c r="T29" s="150" t="s">
        <v>401</v>
      </c>
      <c r="U29" s="150">
        <f>'Portafolio P&amp;D'!Q34</f>
        <v>2024</v>
      </c>
      <c r="V29" s="150">
        <f>'Portafolio P&amp;D'!R34</f>
        <v>2025</v>
      </c>
      <c r="W29" s="76">
        <f>'Portafolio P&amp;D'!M34</f>
        <v>45376</v>
      </c>
      <c r="X29" s="277">
        <f>'Portafolio P&amp;D'!I34</f>
        <v>0</v>
      </c>
      <c r="Y29" s="149" t="s">
        <v>244</v>
      </c>
      <c r="Z29" s="55" t="s">
        <v>525</v>
      </c>
      <c r="AA29" s="162" t="s">
        <v>526</v>
      </c>
      <c r="AB29" s="150" t="s">
        <v>356</v>
      </c>
      <c r="AC29" s="150" t="s">
        <v>527</v>
      </c>
      <c r="AD29" s="150" t="str">
        <f>'Portafolio P&amp;D'!X34</f>
        <v>Por asignar</v>
      </c>
      <c r="AE29" s="150" t="s">
        <v>528</v>
      </c>
      <c r="AF29" s="153"/>
      <c r="AG29" s="149"/>
      <c r="AH29" s="151">
        <f>'Portafolio P&amp;D'!Y34</f>
        <v>45306</v>
      </c>
      <c r="AI29" s="154">
        <f>'Portafolio P&amp;D'!Z34</f>
        <v>46018</v>
      </c>
      <c r="AJ29" s="154"/>
      <c r="AK29" s="155">
        <f>'Portafolio P&amp;D'!AA34</f>
        <v>0.86</v>
      </c>
      <c r="AL29" s="155">
        <f>'Portafolio P&amp;D'!AB34</f>
        <v>0.84</v>
      </c>
      <c r="AM29" s="278">
        <f>IF(DemandaEstrateg_[[#This Row],[Tipo de Requerimiento]]="Proyecto",(DemandaEstrateg_[[#This Row],[% Avance ejecutado]]-DemandaEstrateg_[[#This Row],[% Avance Planificado]])/DemandaEstrateg_[[#This Row],[% Avance Planificado]],"No aplica")</f>
        <v>-2.3255813953488393E-2</v>
      </c>
      <c r="AN29" s="190">
        <f>IF(DemandaEstrateg_[[#This Row],[Tipo de Requerimiento]]="Proyecto",(DemandaEstrateg_[[#This Row],[% Avance ejecutado]]-DemandaEstrateg_[[#This Row],[% Avance Planificado]])/DemandaEstrateg_[[#This Row],[% Avance Planificado]],"No aplica")</f>
        <v>-2.3255813953488393E-2</v>
      </c>
      <c r="AO29" s="190"/>
      <c r="AP29" s="292">
        <v>45839</v>
      </c>
      <c r="AQ29" s="153" t="s">
        <v>448</v>
      </c>
      <c r="AR29" s="153" t="s">
        <v>394</v>
      </c>
      <c r="AS29" s="320" t="s">
        <v>529</v>
      </c>
      <c r="AT29" s="152" t="str">
        <f>VLOOKUP(DemandaEstrateg_[[#This Row],[Estado TI]],Tabla12[],3,FALSE)</f>
        <v>03. Implementado</v>
      </c>
      <c r="AU29" s="294" t="s">
        <v>530</v>
      </c>
      <c r="AV29" s="214" t="str">
        <f>'Portafolio P&amp;D'!B34</f>
        <v>PROTTES-EO04-24-34</v>
      </c>
    </row>
    <row r="30" spans="1:48" ht="49.9" customHeight="1" thickBot="1">
      <c r="A30" s="55">
        <v>2458</v>
      </c>
      <c r="B30" s="150" t="s">
        <v>531</v>
      </c>
      <c r="C30" s="150">
        <v>2056</v>
      </c>
      <c r="D30" s="150" t="s">
        <v>532</v>
      </c>
      <c r="E30" s="55" t="s">
        <v>364</v>
      </c>
      <c r="F30" s="58" t="s">
        <v>533</v>
      </c>
      <c r="G30" s="58" t="s">
        <v>534</v>
      </c>
      <c r="H30" s="55" t="s">
        <v>128</v>
      </c>
      <c r="I30" s="55" t="s">
        <v>474</v>
      </c>
      <c r="J30" s="55"/>
      <c r="K30" s="76" t="s">
        <v>369</v>
      </c>
      <c r="L30" s="148">
        <v>45566</v>
      </c>
      <c r="M30" s="162" t="s">
        <v>535</v>
      </c>
      <c r="N30" s="150" t="s">
        <v>382</v>
      </c>
      <c r="O30" s="150" t="s">
        <v>438</v>
      </c>
      <c r="P30" s="150" t="s">
        <v>373</v>
      </c>
      <c r="Q30" s="150" t="s">
        <v>381</v>
      </c>
      <c r="R30" s="150" t="s">
        <v>382</v>
      </c>
      <c r="S30" s="150" t="s">
        <v>410</v>
      </c>
      <c r="T30" s="150" t="s">
        <v>410</v>
      </c>
      <c r="U30" s="150">
        <f>'Portafolio P&amp;D'!Q9</f>
        <v>2023</v>
      </c>
      <c r="V30" s="150">
        <f>'Portafolio P&amp;D'!R9</f>
        <v>2025</v>
      </c>
      <c r="W30" s="158">
        <v>45596</v>
      </c>
      <c r="X30" s="109" t="s">
        <v>373</v>
      </c>
      <c r="Y30" s="149" t="s">
        <v>87</v>
      </c>
      <c r="Z30" s="55" t="s">
        <v>439</v>
      </c>
      <c r="AA30" s="162" t="s">
        <v>440</v>
      </c>
      <c r="AB30" s="150" t="s">
        <v>356</v>
      </c>
      <c r="AC30" s="55" t="s">
        <v>477</v>
      </c>
      <c r="AD30" s="163" t="str">
        <f>'Portafolio P&amp;D'!X9</f>
        <v>Angela Risco</v>
      </c>
      <c r="AE30" s="163" t="s">
        <v>442</v>
      </c>
      <c r="AF30" s="153"/>
      <c r="AG30" s="149"/>
      <c r="AH30" s="151">
        <v>45567</v>
      </c>
      <c r="AI30" s="248" t="s">
        <v>394</v>
      </c>
      <c r="AJ30" s="248"/>
      <c r="AK30" s="155" t="s">
        <v>373</v>
      </c>
      <c r="AL30" s="155" t="s">
        <v>373</v>
      </c>
      <c r="AM30" s="279" t="str">
        <f>IF(DemandaEstrateg_[[#This Row],[Tipo de Requerimiento]]="Proyecto",(DemandaEstrateg_[[#This Row],[% Avance ejecutado]]-DemandaEstrateg_[[#This Row],[% Avance Planificado]])/DemandaEstrateg_[[#This Row],[% Avance Planificado]],"No aplica")</f>
        <v>No aplica</v>
      </c>
      <c r="AN30" s="279" t="str">
        <f>IF(DemandaEstrateg_[[#This Row],[Tipo de Requerimiento]]="Proyecto",(DemandaEstrateg_[[#This Row],[% Avance ejecutado]]-DemandaEstrateg_[[#This Row],[% Avance Planificado]])/DemandaEstrateg_[[#This Row],[% Avance Planificado]],"No aplica")</f>
        <v>No aplica</v>
      </c>
      <c r="AO30" s="191"/>
      <c r="AP30" s="191"/>
      <c r="AQ30" s="153" t="s">
        <v>359</v>
      </c>
      <c r="AR30" s="153" t="s">
        <v>375</v>
      </c>
      <c r="AS30" s="159" t="str">
        <f>VLOOKUP(DemandaEstrateg_[[#This Row],[Últ. Estado CQ 14.05]],Tabla36[[Estado CQ]:[Estado TI]],3,FALSE)</f>
        <v>06. Calidad Finalizado</v>
      </c>
      <c r="AT30" s="152" t="str">
        <f>VLOOKUP(DemandaEstrateg_[[#This Row],[Estado TI]],Tabla12[],3,FALSE)</f>
        <v>02. En Ejecución</v>
      </c>
      <c r="AU30" s="231" t="s">
        <v>536</v>
      </c>
      <c r="AV30" s="205" t="s">
        <v>175</v>
      </c>
    </row>
    <row r="31" spans="1:48" s="212" customFormat="1" ht="49.9" customHeight="1">
      <c r="A31" s="163">
        <v>2487</v>
      </c>
      <c r="B31" s="159" t="s">
        <v>537</v>
      </c>
      <c r="C31" s="159">
        <v>442</v>
      </c>
      <c r="D31" s="159" t="s">
        <v>538</v>
      </c>
      <c r="E31" s="55" t="s">
        <v>364</v>
      </c>
      <c r="F31" s="170" t="s">
        <v>539</v>
      </c>
      <c r="G31" s="170" t="s">
        <v>540</v>
      </c>
      <c r="H31" s="163" t="s">
        <v>367</v>
      </c>
      <c r="I31" s="163" t="s">
        <v>368</v>
      </c>
      <c r="J31" s="55" t="str">
        <f>'Portafolio P&amp;D'!$G$11</f>
        <v>Luis Garcia; 
Liliana Casafranca</v>
      </c>
      <c r="K31" s="237" t="s">
        <v>369</v>
      </c>
      <c r="L31" s="169">
        <v>45162</v>
      </c>
      <c r="M31" s="238" t="s">
        <v>370</v>
      </c>
      <c r="N31" s="159" t="s">
        <v>349</v>
      </c>
      <c r="O31" s="159" t="s">
        <v>349</v>
      </c>
      <c r="P31" s="159" t="s">
        <v>349</v>
      </c>
      <c r="Q31" s="159" t="s">
        <v>350</v>
      </c>
      <c r="R31" s="159" t="s">
        <v>382</v>
      </c>
      <c r="S31" s="159" t="s">
        <v>410</v>
      </c>
      <c r="T31" s="159" t="s">
        <v>410</v>
      </c>
      <c r="U31" s="159">
        <f>'Portafolio P&amp;D'!Q11</f>
        <v>2021</v>
      </c>
      <c r="V31" s="159">
        <f>'Portafolio P&amp;D'!R11</f>
        <v>2025</v>
      </c>
      <c r="W31" s="239" t="s">
        <v>175</v>
      </c>
      <c r="X31" s="109" t="s">
        <v>373</v>
      </c>
      <c r="Y31" s="240" t="s">
        <v>107</v>
      </c>
      <c r="Z31" s="163" t="s">
        <v>374</v>
      </c>
      <c r="AA31" s="238" t="s">
        <v>355</v>
      </c>
      <c r="AB31" s="159" t="s">
        <v>356</v>
      </c>
      <c r="AC31" s="159" t="s">
        <v>357</v>
      </c>
      <c r="AD31" s="159" t="str">
        <f>'Portafolio P&amp;D'!X11</f>
        <v>Jorge Ruiz</v>
      </c>
      <c r="AE31" s="159" t="s">
        <v>358</v>
      </c>
      <c r="AF31" s="153"/>
      <c r="AG31" s="149"/>
      <c r="AH31" s="154">
        <v>45162</v>
      </c>
      <c r="AI31" s="247">
        <v>45838</v>
      </c>
      <c r="AJ31" s="247"/>
      <c r="AK31" s="241" t="s">
        <v>373</v>
      </c>
      <c r="AL31" s="241" t="s">
        <v>373</v>
      </c>
      <c r="AM31" s="279" t="str">
        <f>IF(DemandaEstrateg_[[#This Row],[Tipo de Requerimiento]]="Proyecto",(DemandaEstrateg_[[#This Row],[% Avance ejecutado]]-DemandaEstrateg_[[#This Row],[% Avance Planificado]])/DemandaEstrateg_[[#This Row],[% Avance Planificado]],"No aplica")</f>
        <v>No aplica</v>
      </c>
      <c r="AN31" s="279" t="str">
        <f>IF(DemandaEstrateg_[[#This Row],[Tipo de Requerimiento]]="Proyecto",(DemandaEstrateg_[[#This Row],[% Avance ejecutado]]-DemandaEstrateg_[[#This Row],[% Avance Planificado]])/DemandaEstrateg_[[#This Row],[% Avance Planificado]],"No aplica")</f>
        <v>No aplica</v>
      </c>
      <c r="AO31" s="242"/>
      <c r="AP31" s="375">
        <v>46082</v>
      </c>
      <c r="AQ31" s="321" t="s">
        <v>359</v>
      </c>
      <c r="AR31" s="423" t="s">
        <v>403</v>
      </c>
      <c r="AS31" s="159" t="str">
        <f>VLOOKUP(DemandaEstrateg_[[#This Row],[Últ. Estado CQ 14.05]],Tabla36[[Estado CQ]:[Estado TI]],3,FALSE)</f>
        <v>05. En Calidad</v>
      </c>
      <c r="AT31" s="243" t="str">
        <f>VLOOKUP(DemandaEstrateg_[[#This Row],[Estado TI]],Tabla12[],3,FALSE)</f>
        <v>02. En Ejecución</v>
      </c>
      <c r="AU31" s="79" t="s">
        <v>541</v>
      </c>
      <c r="AV31" s="205" t="s">
        <v>175</v>
      </c>
    </row>
    <row r="32" spans="1:48" s="212" customFormat="1" ht="49.9" customHeight="1" thickBot="1">
      <c r="A32" s="163">
        <v>2488</v>
      </c>
      <c r="B32" s="159" t="s">
        <v>542</v>
      </c>
      <c r="C32" s="159">
        <v>442</v>
      </c>
      <c r="D32" s="159" t="s">
        <v>543</v>
      </c>
      <c r="E32" s="55" t="s">
        <v>364</v>
      </c>
      <c r="F32" s="170" t="s">
        <v>544</v>
      </c>
      <c r="G32" s="170" t="s">
        <v>545</v>
      </c>
      <c r="H32" s="163" t="s">
        <v>367</v>
      </c>
      <c r="I32" s="163" t="s">
        <v>368</v>
      </c>
      <c r="J32" s="55" t="str">
        <f>'Portafolio P&amp;D'!$G$11</f>
        <v>Luis Garcia; 
Liliana Casafranca</v>
      </c>
      <c r="K32" s="237" t="s">
        <v>369</v>
      </c>
      <c r="L32" s="169">
        <v>45603</v>
      </c>
      <c r="M32" s="238" t="s">
        <v>370</v>
      </c>
      <c r="N32" s="159" t="s">
        <v>349</v>
      </c>
      <c r="O32" s="159" t="s">
        <v>349</v>
      </c>
      <c r="P32" s="159" t="s">
        <v>349</v>
      </c>
      <c r="Q32" s="159" t="s">
        <v>350</v>
      </c>
      <c r="R32" s="159" t="s">
        <v>382</v>
      </c>
      <c r="S32" s="159" t="s">
        <v>392</v>
      </c>
      <c r="T32" s="159" t="s">
        <v>546</v>
      </c>
      <c r="U32" s="159">
        <f>'Portafolio P&amp;D'!Q11</f>
        <v>2021</v>
      </c>
      <c r="V32" s="159">
        <f>'Portafolio P&amp;D'!R11</f>
        <v>2025</v>
      </c>
      <c r="W32" s="239">
        <v>45747</v>
      </c>
      <c r="X32" s="109" t="s">
        <v>373</v>
      </c>
      <c r="Y32" s="240" t="s">
        <v>107</v>
      </c>
      <c r="Z32" s="163" t="s">
        <v>374</v>
      </c>
      <c r="AA32" s="238" t="s">
        <v>355</v>
      </c>
      <c r="AB32" s="159" t="s">
        <v>356</v>
      </c>
      <c r="AC32" s="159" t="s">
        <v>357</v>
      </c>
      <c r="AD32" s="159" t="str">
        <f>'Portafolio P&amp;D'!X11</f>
        <v>Jorge Ruiz</v>
      </c>
      <c r="AE32" s="159" t="s">
        <v>358</v>
      </c>
      <c r="AF32" s="153"/>
      <c r="AG32" s="149"/>
      <c r="AH32" s="154">
        <v>45604</v>
      </c>
      <c r="AI32" s="247">
        <v>45930</v>
      </c>
      <c r="AJ32" s="247"/>
      <c r="AK32" s="241" t="s">
        <v>373</v>
      </c>
      <c r="AL32" s="241" t="s">
        <v>373</v>
      </c>
      <c r="AM32" s="279" t="str">
        <f>IF(DemandaEstrateg_[[#This Row],[Tipo de Requerimiento]]="Proyecto",(DemandaEstrateg_[[#This Row],[% Avance ejecutado]]-DemandaEstrateg_[[#This Row],[% Avance Planificado]])/DemandaEstrateg_[[#This Row],[% Avance Planificado]],"No aplica")</f>
        <v>No aplica</v>
      </c>
      <c r="AN32" s="279" t="str">
        <f>IF(DemandaEstrateg_[[#This Row],[Tipo de Requerimiento]]="Proyecto",(DemandaEstrateg_[[#This Row],[% Avance ejecutado]]-DemandaEstrateg_[[#This Row],[% Avance Planificado]])/DemandaEstrateg_[[#This Row],[% Avance Planificado]],"No aplica")</f>
        <v>No aplica</v>
      </c>
      <c r="AO32" s="242"/>
      <c r="AP32" s="375">
        <v>46082</v>
      </c>
      <c r="AQ32" s="321" t="s">
        <v>359</v>
      </c>
      <c r="AR32" s="423" t="s">
        <v>487</v>
      </c>
      <c r="AS32" s="159" t="str">
        <f>VLOOKUP(DemandaEstrateg_[[#This Row],[Últ. Estado CQ 14.05]],Tabla36[[Estado CQ]:[Estado TI]],3,FALSE)</f>
        <v>04. Desarrollo Finalizado</v>
      </c>
      <c r="AT32" s="243" t="str">
        <f>VLOOKUP(DemandaEstrateg_[[#This Row],[Estado TI]],Tabla12[],3,FALSE)</f>
        <v>02. En Ejecución</v>
      </c>
      <c r="AU32" s="79" t="s">
        <v>541</v>
      </c>
      <c r="AV32" s="205" t="s">
        <v>175</v>
      </c>
    </row>
    <row r="33" spans="1:48" ht="49.9" customHeight="1" thickBot="1">
      <c r="A33" s="55">
        <v>2502</v>
      </c>
      <c r="B33" s="150" t="s">
        <v>547</v>
      </c>
      <c r="C33" s="150">
        <v>2056</v>
      </c>
      <c r="D33" s="150" t="s">
        <v>548</v>
      </c>
      <c r="E33" s="55" t="s">
        <v>364</v>
      </c>
      <c r="F33" s="58" t="s">
        <v>549</v>
      </c>
      <c r="G33" s="58" t="s">
        <v>550</v>
      </c>
      <c r="H33" s="55" t="s">
        <v>34</v>
      </c>
      <c r="I33" s="55" t="s">
        <v>474</v>
      </c>
      <c r="J33" s="55"/>
      <c r="K33" s="76" t="s">
        <v>369</v>
      </c>
      <c r="L33" s="148">
        <v>45623</v>
      </c>
      <c r="M33" s="162" t="s">
        <v>551</v>
      </c>
      <c r="N33" s="150" t="s">
        <v>552</v>
      </c>
      <c r="O33" s="150" t="s">
        <v>382</v>
      </c>
      <c r="P33" s="150" t="s">
        <v>382</v>
      </c>
      <c r="Q33" s="150" t="s">
        <v>381</v>
      </c>
      <c r="R33" s="150" t="s">
        <v>382</v>
      </c>
      <c r="S33" s="150" t="s">
        <v>410</v>
      </c>
      <c r="T33" s="150" t="s">
        <v>410</v>
      </c>
      <c r="U33" s="150">
        <f>'Portafolio P&amp;D'!Q9</f>
        <v>2023</v>
      </c>
      <c r="V33" s="150">
        <f>'Portafolio P&amp;D'!R9</f>
        <v>2025</v>
      </c>
      <c r="W33" s="76">
        <v>45653</v>
      </c>
      <c r="X33" s="109" t="s">
        <v>373</v>
      </c>
      <c r="Y33" s="149" t="s">
        <v>87</v>
      </c>
      <c r="Z33" s="55" t="s">
        <v>439</v>
      </c>
      <c r="AA33" s="162" t="s">
        <v>440</v>
      </c>
      <c r="AB33" s="150" t="s">
        <v>356</v>
      </c>
      <c r="AC33" s="55" t="s">
        <v>477</v>
      </c>
      <c r="AD33" s="163" t="str">
        <f>'Portafolio P&amp;D'!X9</f>
        <v>Angela Risco</v>
      </c>
      <c r="AE33" s="150" t="s">
        <v>442</v>
      </c>
      <c r="AF33" s="153"/>
      <c r="AG33" s="149"/>
      <c r="AH33" s="151">
        <v>45629</v>
      </c>
      <c r="AI33" s="248" t="s">
        <v>394</v>
      </c>
      <c r="AJ33" s="248"/>
      <c r="AK33" s="155" t="s">
        <v>373</v>
      </c>
      <c r="AL33" s="155" t="s">
        <v>373</v>
      </c>
      <c r="AM33" s="279" t="str">
        <f>IF(DemandaEstrateg_[[#This Row],[Tipo de Requerimiento]]="Proyecto",(DemandaEstrateg_[[#This Row],[% Avance ejecutado]]-DemandaEstrateg_[[#This Row],[% Avance Planificado]])/DemandaEstrateg_[[#This Row],[% Avance Planificado]],"No aplica")</f>
        <v>No aplica</v>
      </c>
      <c r="AN33" s="279" t="str">
        <f>IF(DemandaEstrateg_[[#This Row],[Tipo de Requerimiento]]="Proyecto",(DemandaEstrateg_[[#This Row],[% Avance ejecutado]]-DemandaEstrateg_[[#This Row],[% Avance Planificado]])/DemandaEstrateg_[[#This Row],[% Avance Planificado]],"No aplica")</f>
        <v>No aplica</v>
      </c>
      <c r="AO33" s="191"/>
      <c r="AP33" s="191"/>
      <c r="AQ33" s="153" t="s">
        <v>359</v>
      </c>
      <c r="AR33" s="153" t="s">
        <v>375</v>
      </c>
      <c r="AS33" s="159" t="str">
        <f>VLOOKUP(DemandaEstrateg_[[#This Row],[Últ. Estado CQ 14.05]],Tabla36[[Estado CQ]:[Estado TI]],3,FALSE)</f>
        <v>06. Calidad Finalizado</v>
      </c>
      <c r="AT33" s="152" t="str">
        <f>VLOOKUP(DemandaEstrateg_[[#This Row],[Estado TI]],Tabla12[],3,FALSE)</f>
        <v>02. En Ejecución</v>
      </c>
      <c r="AU33" s="295" t="s">
        <v>553</v>
      </c>
      <c r="AV33" s="205" t="s">
        <v>175</v>
      </c>
    </row>
    <row r="34" spans="1:48" ht="49.9" customHeight="1">
      <c r="A34" s="55">
        <v>2509</v>
      </c>
      <c r="B34" s="150" t="s">
        <v>554</v>
      </c>
      <c r="C34" s="150" t="s">
        <v>175</v>
      </c>
      <c r="D34" s="150" t="s">
        <v>554</v>
      </c>
      <c r="E34" s="55" t="s">
        <v>347</v>
      </c>
      <c r="F34" s="58" t="str">
        <f>'Portafolio P&amp;D'!C17</f>
        <v>Implementación del Proyecto de Robotización (Automatización de Procesos - RPA)</v>
      </c>
      <c r="G34" s="58" t="str">
        <f>'Portafolio P&amp;D'!D17</f>
        <v>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v>
      </c>
      <c r="H34" s="55" t="str">
        <f>'Portafolio P&amp;D'!E17</f>
        <v>Operaciones</v>
      </c>
      <c r="I34" s="55" t="str">
        <f>'Portafolio P&amp;D'!F17</f>
        <v>María Luisa Guevara</v>
      </c>
      <c r="J34" s="55" t="str">
        <f>'Portafolio P&amp;D'!$G$17</f>
        <v>Marco Ortiz; Andrea Peve</v>
      </c>
      <c r="K34" s="55" t="str">
        <f>'Portafolio P&amp;D'!H17</f>
        <v>Rina Roca</v>
      </c>
      <c r="L34" s="148">
        <v>45624</v>
      </c>
      <c r="M34" s="162" t="s">
        <v>555</v>
      </c>
      <c r="N34" s="150" t="s">
        <v>482</v>
      </c>
      <c r="O34" s="150" t="s">
        <v>175</v>
      </c>
      <c r="P34" s="150" t="s">
        <v>175</v>
      </c>
      <c r="Q34" s="150" t="s">
        <v>483</v>
      </c>
      <c r="R34" s="150" t="s">
        <v>382</v>
      </c>
      <c r="S34" s="150" t="s">
        <v>410</v>
      </c>
      <c r="T34" s="150" t="s">
        <v>410</v>
      </c>
      <c r="U34" s="150">
        <f>'Portafolio P&amp;D'!Q17</f>
        <v>2023</v>
      </c>
      <c r="V34" s="150">
        <f>'Portafolio P&amp;D'!R17</f>
        <v>2025</v>
      </c>
      <c r="W34" s="76">
        <f>'Portafolio P&amp;D'!M17</f>
        <v>45121</v>
      </c>
      <c r="X34" s="277">
        <f>'Portafolio P&amp;D'!I17</f>
        <v>2166000</v>
      </c>
      <c r="Y34" s="149" t="s">
        <v>151</v>
      </c>
      <c r="Z34" s="55" t="s">
        <v>152</v>
      </c>
      <c r="AA34" s="162" t="s">
        <v>556</v>
      </c>
      <c r="AB34" s="150" t="s">
        <v>434</v>
      </c>
      <c r="AC34" s="150" t="s">
        <v>454</v>
      </c>
      <c r="AD34" s="150" t="str">
        <f>'Portafolio P&amp;D'!X17</f>
        <v>Elia Muñoz</v>
      </c>
      <c r="AE34" s="150" t="s">
        <v>435</v>
      </c>
      <c r="AF34" s="153"/>
      <c r="AG34" s="149"/>
      <c r="AH34" s="151">
        <f>'Portafolio P&amp;D'!Y17</f>
        <v>45048</v>
      </c>
      <c r="AI34" s="154">
        <f>'Portafolio P&amp;D'!Z17</f>
        <v>46052</v>
      </c>
      <c r="AJ34" s="154"/>
      <c r="AK34" s="155">
        <f>'Portafolio P&amp;D'!AA17</f>
        <v>1</v>
      </c>
      <c r="AL34" s="155">
        <v>0.99</v>
      </c>
      <c r="AM34" s="278">
        <f>IF(DemandaEstrateg_[[#This Row],[Tipo de Requerimiento]]="Proyecto",(DemandaEstrateg_[[#This Row],[% Avance ejecutado]]-DemandaEstrateg_[[#This Row],[% Avance Planificado]])/DemandaEstrateg_[[#This Row],[% Avance Planificado]],"No aplica")</f>
        <v>-1.0000000000000009E-2</v>
      </c>
      <c r="AN34" s="190">
        <f>IF(DemandaEstrateg_[[#This Row],[Tipo de Requerimiento]]="Proyecto",(DemandaEstrateg_[[#This Row],[% Avance ejecutado]]-DemandaEstrateg_[[#This Row],[% Avance Planificado]])/DemandaEstrateg_[[#This Row],[% Avance Planificado]],"No aplica")</f>
        <v>-1.0000000000000009E-2</v>
      </c>
      <c r="AO34" s="190"/>
      <c r="AP34" s="374">
        <v>45992</v>
      </c>
      <c r="AQ34" s="153" t="s">
        <v>448</v>
      </c>
      <c r="AR34" s="320" t="s">
        <v>449</v>
      </c>
      <c r="AS34" s="320" t="s">
        <v>449</v>
      </c>
      <c r="AT34" s="152" t="str">
        <f>VLOOKUP(DemandaEstrateg_[[#This Row],[Estado TI]],Tabla12[],3,FALSE)</f>
        <v>04. Finalizado</v>
      </c>
      <c r="AU34" s="297" t="s">
        <v>557</v>
      </c>
      <c r="AV34" s="214" t="str">
        <f>'Portafolio P&amp;D'!B17</f>
        <v>PRORPA-EO08-23-27</v>
      </c>
    </row>
    <row r="35" spans="1:48" ht="49.9" customHeight="1" thickBot="1">
      <c r="A35" s="55">
        <v>2510</v>
      </c>
      <c r="B35" s="150" t="s">
        <v>397</v>
      </c>
      <c r="C35" s="150">
        <v>2292</v>
      </c>
      <c r="D35" s="150" t="s">
        <v>397</v>
      </c>
      <c r="E35" s="55" t="s">
        <v>364</v>
      </c>
      <c r="F35" s="58" t="s">
        <v>558</v>
      </c>
      <c r="G35" s="58" t="s">
        <v>559</v>
      </c>
      <c r="H35" s="55" t="s">
        <v>93</v>
      </c>
      <c r="I35" s="55" t="s">
        <v>560</v>
      </c>
      <c r="J35" s="55" t="str">
        <f>'Portafolio P&amp;D'!$G$10</f>
        <v>Diana Mogollon</v>
      </c>
      <c r="K35" s="76" t="s">
        <v>253</v>
      </c>
      <c r="L35" s="148">
        <v>45624</v>
      </c>
      <c r="M35" s="171"/>
      <c r="N35" s="150" t="s">
        <v>175</v>
      </c>
      <c r="O35" s="150" t="s">
        <v>175</v>
      </c>
      <c r="P35" s="150" t="s">
        <v>175</v>
      </c>
      <c r="Q35" s="150" t="s">
        <v>483</v>
      </c>
      <c r="R35" s="150" t="s">
        <v>382</v>
      </c>
      <c r="S35" s="150" t="s">
        <v>401</v>
      </c>
      <c r="T35" s="150" t="s">
        <v>401</v>
      </c>
      <c r="U35" s="150">
        <f>'Portafolio P&amp;D'!Q10</f>
        <v>2023</v>
      </c>
      <c r="V35" s="150">
        <f>'Portafolio P&amp;D'!R10</f>
        <v>2025</v>
      </c>
      <c r="W35" s="158">
        <v>45747</v>
      </c>
      <c r="X35" s="109" t="s">
        <v>373</v>
      </c>
      <c r="Y35" s="149" t="s">
        <v>99</v>
      </c>
      <c r="Z35" s="55" t="s">
        <v>374</v>
      </c>
      <c r="AA35" s="162" t="s">
        <v>561</v>
      </c>
      <c r="AB35" s="150" t="s">
        <v>434</v>
      </c>
      <c r="AC35" s="150" t="s">
        <v>562</v>
      </c>
      <c r="AD35" s="150" t="str">
        <f>'Portafolio P&amp;D'!X10</f>
        <v>Jorge Mora</v>
      </c>
      <c r="AE35" s="150" t="s">
        <v>100</v>
      </c>
      <c r="AF35" s="153"/>
      <c r="AG35" s="149"/>
      <c r="AH35" s="150" t="s">
        <v>175</v>
      </c>
      <c r="AI35" s="247">
        <v>45809</v>
      </c>
      <c r="AJ35" s="247"/>
      <c r="AK35" s="155" t="s">
        <v>373</v>
      </c>
      <c r="AL35" s="155" t="s">
        <v>373</v>
      </c>
      <c r="AM35" s="278" t="str">
        <f>IF(DemandaEstrateg_[[#This Row],[Tipo de Requerimiento]]="Proyecto",(DemandaEstrateg_[[#This Row],[% Avance ejecutado]]-DemandaEstrateg_[[#This Row],[% Avance Planificado]])/DemandaEstrateg_[[#This Row],[% Avance Planificado]],"No aplica")</f>
        <v>No aplica</v>
      </c>
      <c r="AN35" s="278" t="str">
        <f>IF(DemandaEstrateg_[[#This Row],[Tipo de Requerimiento]]="Proyecto",(DemandaEstrateg_[[#This Row],[% Avance ejecutado]]-DemandaEstrateg_[[#This Row],[% Avance Planificado]])/DemandaEstrateg_[[#This Row],[% Avance Planificado]],"No aplica")</f>
        <v>No aplica</v>
      </c>
      <c r="AO35" s="190"/>
      <c r="AP35" s="190"/>
      <c r="AQ35" s="153" t="s">
        <v>448</v>
      </c>
      <c r="AR35" s="153" t="s">
        <v>394</v>
      </c>
      <c r="AS35" s="159" t="s">
        <v>466</v>
      </c>
      <c r="AT35" s="152" t="str">
        <f>VLOOKUP(DemandaEstrateg_[[#This Row],[Estado TI]],Tabla12[],3,FALSE)</f>
        <v>05. Descartado</v>
      </c>
      <c r="AU35" s="296" t="s">
        <v>563</v>
      </c>
      <c r="AV35" s="205" t="s">
        <v>175</v>
      </c>
    </row>
    <row r="36" spans="1:48" ht="49.9" customHeight="1" thickBot="1">
      <c r="A36" s="55">
        <v>2541</v>
      </c>
      <c r="B36" s="173" t="s">
        <v>564</v>
      </c>
      <c r="C36" s="159">
        <v>1749</v>
      </c>
      <c r="D36" s="150" t="s">
        <v>565</v>
      </c>
      <c r="E36" s="55" t="s">
        <v>364</v>
      </c>
      <c r="F36" s="160" t="s">
        <v>566</v>
      </c>
      <c r="G36" s="170" t="s">
        <v>567</v>
      </c>
      <c r="H36" s="55" t="s">
        <v>113</v>
      </c>
      <c r="I36" s="55" t="s">
        <v>368</v>
      </c>
      <c r="J36" s="55" t="str">
        <f>'Portafolio P&amp;D'!$G$11</f>
        <v>Luis Garcia; 
Liliana Casafranca</v>
      </c>
      <c r="K36" s="76" t="s">
        <v>369</v>
      </c>
      <c r="L36" s="148">
        <v>45645</v>
      </c>
      <c r="M36" s="162" t="s">
        <v>370</v>
      </c>
      <c r="N36" s="163" t="s">
        <v>382</v>
      </c>
      <c r="O36" s="163" t="s">
        <v>175</v>
      </c>
      <c r="P36" s="163" t="s">
        <v>373</v>
      </c>
      <c r="Q36" s="173" t="s">
        <v>381</v>
      </c>
      <c r="R36" s="150" t="s">
        <v>382</v>
      </c>
      <c r="S36" s="150" t="s">
        <v>410</v>
      </c>
      <c r="T36" s="150" t="s">
        <v>410</v>
      </c>
      <c r="U36" s="150">
        <f>'Portafolio P&amp;D'!Q11</f>
        <v>2021</v>
      </c>
      <c r="V36" s="150">
        <f>'Portafolio P&amp;D'!R11</f>
        <v>2025</v>
      </c>
      <c r="W36" s="158">
        <v>45653</v>
      </c>
      <c r="X36" s="109" t="s">
        <v>373</v>
      </c>
      <c r="Y36" s="150" t="s">
        <v>107</v>
      </c>
      <c r="Z36" s="55" t="s">
        <v>374</v>
      </c>
      <c r="AA36" s="149" t="s">
        <v>355</v>
      </c>
      <c r="AB36" s="150" t="s">
        <v>356</v>
      </c>
      <c r="AC36" s="150" t="s">
        <v>357</v>
      </c>
      <c r="AD36" s="150" t="str">
        <f>'Portafolio P&amp;D'!X11</f>
        <v>Jorge Ruiz</v>
      </c>
      <c r="AE36" s="150" t="s">
        <v>358</v>
      </c>
      <c r="AF36" s="153"/>
      <c r="AG36" s="149"/>
      <c r="AH36" s="151">
        <v>45645</v>
      </c>
      <c r="AI36" s="247">
        <v>45688</v>
      </c>
      <c r="AJ36" s="247"/>
      <c r="AK36" s="155" t="s">
        <v>373</v>
      </c>
      <c r="AL36" s="155" t="s">
        <v>373</v>
      </c>
      <c r="AM36" s="278" t="str">
        <f>IF(DemandaEstrateg_[[#This Row],[Tipo de Requerimiento]]="Proyecto",(DemandaEstrateg_[[#This Row],[% Avance ejecutado]]-DemandaEstrateg_[[#This Row],[% Avance Planificado]])/DemandaEstrateg_[[#This Row],[% Avance Planificado]],"No aplica")</f>
        <v>No aplica</v>
      </c>
      <c r="AN36" s="278" t="str">
        <f>IF(DemandaEstrateg_[[#This Row],[Tipo de Requerimiento]]="Proyecto",(DemandaEstrateg_[[#This Row],[% Avance ejecutado]]-DemandaEstrateg_[[#This Row],[% Avance Planificado]])/DemandaEstrateg_[[#This Row],[% Avance Planificado]],"No aplica")</f>
        <v>No aplica</v>
      </c>
      <c r="AO36" s="190"/>
      <c r="AP36" s="375">
        <v>45992</v>
      </c>
      <c r="AQ36" s="153" t="s">
        <v>421</v>
      </c>
      <c r="AR36" s="450" t="s">
        <v>403</v>
      </c>
      <c r="AS36" s="150" t="str">
        <f>VLOOKUP(DemandaEstrateg_[[#This Row],[Últ. Estado CQ 14.05]],Tabla36[[Estado CQ]:[Estado TI]],3,FALSE)</f>
        <v>05. En Calidad</v>
      </c>
      <c r="AT36" s="152" t="str">
        <f>VLOOKUP(DemandaEstrateg_[[#This Row],[Estado TI]],Tabla12[],3,FALSE)</f>
        <v>02. En Ejecución</v>
      </c>
      <c r="AU36" s="234" t="s">
        <v>568</v>
      </c>
      <c r="AV36" s="205" t="s">
        <v>175</v>
      </c>
    </row>
    <row r="37" spans="1:48" s="109" customFormat="1" ht="49.9" customHeight="1">
      <c r="A37" s="55">
        <v>2567</v>
      </c>
      <c r="B37" s="150" t="s">
        <v>569</v>
      </c>
      <c r="C37" s="150">
        <v>2056</v>
      </c>
      <c r="D37" s="150" t="s">
        <v>570</v>
      </c>
      <c r="E37" s="55" t="s">
        <v>364</v>
      </c>
      <c r="F37" s="58" t="s">
        <v>571</v>
      </c>
      <c r="G37" s="58" t="s">
        <v>572</v>
      </c>
      <c r="H37" s="55" t="s">
        <v>128</v>
      </c>
      <c r="I37" s="55" t="s">
        <v>474</v>
      </c>
      <c r="J37" s="55"/>
      <c r="K37" s="76" t="s">
        <v>369</v>
      </c>
      <c r="L37" s="148">
        <v>45678</v>
      </c>
      <c r="M37" s="162" t="s">
        <v>573</v>
      </c>
      <c r="N37" s="150" t="s">
        <v>482</v>
      </c>
      <c r="O37" s="150" t="s">
        <v>438</v>
      </c>
      <c r="P37" s="150" t="s">
        <v>373</v>
      </c>
      <c r="Q37" s="150" t="s">
        <v>381</v>
      </c>
      <c r="R37" s="150" t="s">
        <v>382</v>
      </c>
      <c r="S37" s="150" t="s">
        <v>410</v>
      </c>
      <c r="T37" s="150" t="s">
        <v>410</v>
      </c>
      <c r="U37" s="150">
        <f>'Portafolio P&amp;D'!Q9</f>
        <v>2023</v>
      </c>
      <c r="V37" s="150">
        <f>'Portafolio P&amp;D'!R9</f>
        <v>2025</v>
      </c>
      <c r="W37" s="76">
        <v>45706</v>
      </c>
      <c r="X37" s="109" t="s">
        <v>373</v>
      </c>
      <c r="Y37" s="149" t="s">
        <v>87</v>
      </c>
      <c r="Z37" s="55" t="s">
        <v>439</v>
      </c>
      <c r="AA37" s="149" t="s">
        <v>440</v>
      </c>
      <c r="AB37" s="150" t="s">
        <v>356</v>
      </c>
      <c r="AC37" s="55" t="s">
        <v>477</v>
      </c>
      <c r="AD37" s="163" t="str">
        <f>'Portafolio P&amp;D'!X9</f>
        <v>Angela Risco</v>
      </c>
      <c r="AE37" s="150" t="s">
        <v>442</v>
      </c>
      <c r="AF37" s="153"/>
      <c r="AG37" s="149"/>
      <c r="AH37" s="151">
        <v>45686</v>
      </c>
      <c r="AI37" s="247">
        <v>45777</v>
      </c>
      <c r="AJ37" s="247"/>
      <c r="AK37" s="155" t="s">
        <v>373</v>
      </c>
      <c r="AL37" s="155" t="s">
        <v>373</v>
      </c>
      <c r="AM37" s="278" t="str">
        <f>IF(DemandaEstrateg_[[#This Row],[Tipo de Requerimiento]]="Proyecto",(DemandaEstrateg_[[#This Row],[% Avance ejecutado]]-DemandaEstrateg_[[#This Row],[% Avance Planificado]])/DemandaEstrateg_[[#This Row],[% Avance Planificado]],"No aplica")</f>
        <v>No aplica</v>
      </c>
      <c r="AN37" s="278" t="str">
        <f>IF(DemandaEstrateg_[[#This Row],[Tipo de Requerimiento]]="Proyecto",(DemandaEstrateg_[[#This Row],[% Avance ejecutado]]-DemandaEstrateg_[[#This Row],[% Avance Planificado]])/DemandaEstrateg_[[#This Row],[% Avance Planificado]],"No aplica")</f>
        <v>No aplica</v>
      </c>
      <c r="AO37" s="190"/>
      <c r="AP37" s="190"/>
      <c r="AQ37" s="153" t="s">
        <v>359</v>
      </c>
      <c r="AR37" s="153" t="s">
        <v>574</v>
      </c>
      <c r="AS37" s="159" t="str">
        <f>VLOOKUP(DemandaEstrateg_[[#This Row],[Últ. Estado CQ 14.05]],Tabla36[[Estado CQ]:[Estado TI]],3,FALSE)</f>
        <v>03. En Desarrollo</v>
      </c>
      <c r="AT37" s="152" t="str">
        <f>VLOOKUP(DemandaEstrateg_[[#This Row],[Estado TI]],Tabla12[],3,FALSE)</f>
        <v>02. En Ejecución</v>
      </c>
      <c r="AU37" s="231" t="s">
        <v>575</v>
      </c>
      <c r="AV37" s="205" t="s">
        <v>175</v>
      </c>
    </row>
    <row r="38" spans="1:48" ht="49.9" customHeight="1">
      <c r="A38" s="55">
        <v>2568</v>
      </c>
      <c r="B38" s="150" t="s">
        <v>576</v>
      </c>
      <c r="C38" s="150">
        <v>2056</v>
      </c>
      <c r="D38" s="150" t="s">
        <v>577</v>
      </c>
      <c r="E38" s="55" t="s">
        <v>364</v>
      </c>
      <c r="F38" s="206" t="s">
        <v>578</v>
      </c>
      <c r="G38" s="58" t="s">
        <v>579</v>
      </c>
      <c r="H38" s="55" t="s">
        <v>34</v>
      </c>
      <c r="I38" s="55" t="s">
        <v>474</v>
      </c>
      <c r="J38" s="55"/>
      <c r="K38" s="76" t="s">
        <v>369</v>
      </c>
      <c r="L38" s="148">
        <v>45678</v>
      </c>
      <c r="M38" s="168" t="s">
        <v>580</v>
      </c>
      <c r="N38" s="150" t="s">
        <v>382</v>
      </c>
      <c r="O38" s="150" t="s">
        <v>175</v>
      </c>
      <c r="P38" s="150" t="s">
        <v>175</v>
      </c>
      <c r="Q38" s="150" t="s">
        <v>381</v>
      </c>
      <c r="R38" s="150" t="s">
        <v>382</v>
      </c>
      <c r="S38" s="150" t="s">
        <v>410</v>
      </c>
      <c r="T38" s="150" t="s">
        <v>410</v>
      </c>
      <c r="U38" s="150">
        <f>'Portafolio P&amp;D'!Q9</f>
        <v>2023</v>
      </c>
      <c r="V38" s="150">
        <f>'Portafolio P&amp;D'!R9</f>
        <v>2025</v>
      </c>
      <c r="W38" s="158">
        <v>45747</v>
      </c>
      <c r="X38" s="109" t="s">
        <v>373</v>
      </c>
      <c r="Y38" s="149" t="s">
        <v>87</v>
      </c>
      <c r="Z38" s="55" t="s">
        <v>439</v>
      </c>
      <c r="AA38" s="149" t="s">
        <v>440</v>
      </c>
      <c r="AB38" s="150" t="s">
        <v>356</v>
      </c>
      <c r="AC38" s="55" t="s">
        <v>477</v>
      </c>
      <c r="AD38" s="163" t="str">
        <f>'Portafolio P&amp;D'!X9</f>
        <v>Angela Risco</v>
      </c>
      <c r="AE38" s="150" t="s">
        <v>442</v>
      </c>
      <c r="AF38" s="153"/>
      <c r="AG38" s="149"/>
      <c r="AH38" s="151">
        <v>45686</v>
      </c>
      <c r="AI38" s="247">
        <v>45748</v>
      </c>
      <c r="AJ38" s="247"/>
      <c r="AK38" s="155" t="s">
        <v>373</v>
      </c>
      <c r="AL38" s="155" t="s">
        <v>373</v>
      </c>
      <c r="AM38" s="278" t="str">
        <f>IF(DemandaEstrateg_[[#This Row],[Tipo de Requerimiento]]="Proyecto",(DemandaEstrateg_[[#This Row],[% Avance ejecutado]]-DemandaEstrateg_[[#This Row],[% Avance Planificado]])/DemandaEstrateg_[[#This Row],[% Avance Planificado]],"No aplica")</f>
        <v>No aplica</v>
      </c>
      <c r="AN38" s="278" t="str">
        <f>IF(DemandaEstrateg_[[#This Row],[Tipo de Requerimiento]]="Proyecto",(DemandaEstrateg_[[#This Row],[% Avance ejecutado]]-DemandaEstrateg_[[#This Row],[% Avance Planificado]])/DemandaEstrateg_[[#This Row],[% Avance Planificado]],"No aplica")</f>
        <v>No aplica</v>
      </c>
      <c r="AO38" s="190"/>
      <c r="AP38" s="190"/>
      <c r="AQ38" s="153" t="s">
        <v>359</v>
      </c>
      <c r="AR38" s="450" t="s">
        <v>375</v>
      </c>
      <c r="AS38" s="159" t="str">
        <f>VLOOKUP(DemandaEstrateg_[[#This Row],[Últ. Estado CQ 14.05]],Tabla36[[Estado CQ]:[Estado TI]],3,FALSE)</f>
        <v>06. Calidad Finalizado</v>
      </c>
      <c r="AT38" s="152" t="str">
        <f>VLOOKUP(DemandaEstrateg_[[#This Row],[Estado TI]],Tabla12[],3,FALSE)</f>
        <v>02. En Ejecución</v>
      </c>
      <c r="AU38" s="231" t="s">
        <v>581</v>
      </c>
      <c r="AV38" s="205" t="s">
        <v>175</v>
      </c>
    </row>
    <row r="39" spans="1:48" ht="49.9" customHeight="1">
      <c r="A39" s="55">
        <v>2569</v>
      </c>
      <c r="B39" s="150" t="s">
        <v>582</v>
      </c>
      <c r="C39" s="150">
        <v>2056</v>
      </c>
      <c r="D39" s="150" t="s">
        <v>583</v>
      </c>
      <c r="E39" s="55" t="s">
        <v>364</v>
      </c>
      <c r="F39" s="207" t="s">
        <v>584</v>
      </c>
      <c r="G39" s="58" t="s">
        <v>585</v>
      </c>
      <c r="H39" s="55" t="s">
        <v>34</v>
      </c>
      <c r="I39" s="55" t="s">
        <v>474</v>
      </c>
      <c r="J39" s="55"/>
      <c r="K39" s="76" t="s">
        <v>369</v>
      </c>
      <c r="L39" s="148">
        <v>45678</v>
      </c>
      <c r="M39" s="168" t="s">
        <v>580</v>
      </c>
      <c r="N39" s="150" t="s">
        <v>382</v>
      </c>
      <c r="O39" s="150" t="s">
        <v>175</v>
      </c>
      <c r="P39" s="150" t="s">
        <v>175</v>
      </c>
      <c r="Q39" s="150" t="s">
        <v>381</v>
      </c>
      <c r="R39" s="150" t="s">
        <v>382</v>
      </c>
      <c r="S39" s="150" t="s">
        <v>410</v>
      </c>
      <c r="T39" s="150" t="s">
        <v>410</v>
      </c>
      <c r="U39" s="150">
        <f>'Portafolio P&amp;D'!Q9</f>
        <v>2023</v>
      </c>
      <c r="V39" s="150">
        <f>'Portafolio P&amp;D'!R9</f>
        <v>2025</v>
      </c>
      <c r="W39" s="158">
        <v>45747</v>
      </c>
      <c r="X39" s="109" t="s">
        <v>373</v>
      </c>
      <c r="Y39" s="149" t="s">
        <v>87</v>
      </c>
      <c r="Z39" s="55" t="s">
        <v>439</v>
      </c>
      <c r="AA39" s="149" t="s">
        <v>440</v>
      </c>
      <c r="AB39" s="150" t="s">
        <v>356</v>
      </c>
      <c r="AC39" s="55" t="s">
        <v>477</v>
      </c>
      <c r="AD39" s="163" t="str">
        <f>'Portafolio P&amp;D'!X9</f>
        <v>Angela Risco</v>
      </c>
      <c r="AE39" s="150" t="s">
        <v>442</v>
      </c>
      <c r="AF39" s="153"/>
      <c r="AG39" s="149"/>
      <c r="AH39" s="151">
        <v>45686</v>
      </c>
      <c r="AI39" s="247">
        <v>45748</v>
      </c>
      <c r="AJ39" s="247"/>
      <c r="AK39" s="155" t="s">
        <v>373</v>
      </c>
      <c r="AL39" s="155" t="s">
        <v>373</v>
      </c>
      <c r="AM39" s="278" t="str">
        <f>IF(DemandaEstrateg_[[#This Row],[Tipo de Requerimiento]]="Proyecto",(DemandaEstrateg_[[#This Row],[% Avance ejecutado]]-DemandaEstrateg_[[#This Row],[% Avance Planificado]])/DemandaEstrateg_[[#This Row],[% Avance Planificado]],"No aplica")</f>
        <v>No aplica</v>
      </c>
      <c r="AN39" s="278" t="str">
        <f>IF(DemandaEstrateg_[[#This Row],[Tipo de Requerimiento]]="Proyecto",(DemandaEstrateg_[[#This Row],[% Avance ejecutado]]-DemandaEstrateg_[[#This Row],[% Avance Planificado]])/DemandaEstrateg_[[#This Row],[% Avance Planificado]],"No aplica")</f>
        <v>No aplica</v>
      </c>
      <c r="AO39" s="190"/>
      <c r="AP39" s="190"/>
      <c r="AQ39" s="153" t="s">
        <v>359</v>
      </c>
      <c r="AR39" s="450" t="s">
        <v>375</v>
      </c>
      <c r="AS39" s="159" t="str">
        <f>VLOOKUP(DemandaEstrateg_[[#This Row],[Últ. Estado CQ 14.05]],Tabla36[[Estado CQ]:[Estado TI]],3,FALSE)</f>
        <v>06. Calidad Finalizado</v>
      </c>
      <c r="AT39" s="152" t="str">
        <f>VLOOKUP(DemandaEstrateg_[[#This Row],[Estado TI]],Tabla12[],3,FALSE)</f>
        <v>02. En Ejecución</v>
      </c>
      <c r="AU39" s="231" t="s">
        <v>581</v>
      </c>
      <c r="AV39" s="205" t="s">
        <v>175</v>
      </c>
    </row>
    <row r="40" spans="1:48" ht="49.9" customHeight="1">
      <c r="A40" s="55">
        <v>2570</v>
      </c>
      <c r="B40" s="150" t="s">
        <v>586</v>
      </c>
      <c r="C40" s="150">
        <v>2056</v>
      </c>
      <c r="D40" s="150" t="s">
        <v>587</v>
      </c>
      <c r="E40" s="55" t="s">
        <v>364</v>
      </c>
      <c r="F40" s="207" t="s">
        <v>588</v>
      </c>
      <c r="G40" s="58" t="s">
        <v>589</v>
      </c>
      <c r="H40" s="55" t="s">
        <v>34</v>
      </c>
      <c r="I40" s="55" t="s">
        <v>474</v>
      </c>
      <c r="J40" s="55"/>
      <c r="K40" s="76" t="s">
        <v>369</v>
      </c>
      <c r="L40" s="148">
        <v>45678</v>
      </c>
      <c r="M40" s="168" t="s">
        <v>580</v>
      </c>
      <c r="N40" s="150" t="s">
        <v>382</v>
      </c>
      <c r="O40" s="150" t="s">
        <v>175</v>
      </c>
      <c r="P40" s="150" t="s">
        <v>175</v>
      </c>
      <c r="Q40" s="150" t="s">
        <v>381</v>
      </c>
      <c r="R40" s="150" t="s">
        <v>382</v>
      </c>
      <c r="S40" s="150" t="s">
        <v>410</v>
      </c>
      <c r="T40" s="150" t="s">
        <v>410</v>
      </c>
      <c r="U40" s="150">
        <f>'Portafolio P&amp;D'!Q9</f>
        <v>2023</v>
      </c>
      <c r="V40" s="150">
        <f>'Portafolio P&amp;D'!R9</f>
        <v>2025</v>
      </c>
      <c r="W40" s="158">
        <v>45747</v>
      </c>
      <c r="X40" s="109" t="s">
        <v>373</v>
      </c>
      <c r="Y40" s="149" t="s">
        <v>87</v>
      </c>
      <c r="Z40" s="55" t="s">
        <v>439</v>
      </c>
      <c r="AA40" s="149" t="s">
        <v>440</v>
      </c>
      <c r="AB40" s="150" t="s">
        <v>356</v>
      </c>
      <c r="AC40" s="55" t="s">
        <v>477</v>
      </c>
      <c r="AD40" s="163" t="str">
        <f>'Portafolio P&amp;D'!X9</f>
        <v>Angela Risco</v>
      </c>
      <c r="AE40" s="150" t="s">
        <v>442</v>
      </c>
      <c r="AF40" s="153"/>
      <c r="AG40" s="149"/>
      <c r="AH40" s="151">
        <v>45686</v>
      </c>
      <c r="AI40" s="247">
        <v>45748</v>
      </c>
      <c r="AJ40" s="247"/>
      <c r="AK40" s="155" t="s">
        <v>373</v>
      </c>
      <c r="AL40" s="155" t="s">
        <v>373</v>
      </c>
      <c r="AM40" s="278" t="str">
        <f>IF(DemandaEstrateg_[[#This Row],[Tipo de Requerimiento]]="Proyecto",(DemandaEstrateg_[[#This Row],[% Avance ejecutado]]-DemandaEstrateg_[[#This Row],[% Avance Planificado]])/DemandaEstrateg_[[#This Row],[% Avance Planificado]],"No aplica")</f>
        <v>No aplica</v>
      </c>
      <c r="AN40" s="278" t="str">
        <f>IF(DemandaEstrateg_[[#This Row],[Tipo de Requerimiento]]="Proyecto",(DemandaEstrateg_[[#This Row],[% Avance ejecutado]]-DemandaEstrateg_[[#This Row],[% Avance Planificado]])/DemandaEstrateg_[[#This Row],[% Avance Planificado]],"No aplica")</f>
        <v>No aplica</v>
      </c>
      <c r="AO40" s="190"/>
      <c r="AP40" s="190"/>
      <c r="AQ40" s="153" t="s">
        <v>359</v>
      </c>
      <c r="AR40" s="153" t="s">
        <v>386</v>
      </c>
      <c r="AS40" s="159" t="str">
        <f>VLOOKUP(DemandaEstrateg_[[#This Row],[Últ. Estado CQ 14.05]],Tabla36[[Estado CQ]:[Estado TI]],3,FALSE)</f>
        <v>03. En Desarrollo</v>
      </c>
      <c r="AT40" s="152" t="str">
        <f>VLOOKUP(DemandaEstrateg_[[#This Row],[Estado TI]],Tabla12[],3,FALSE)</f>
        <v>02. En Ejecución</v>
      </c>
      <c r="AU40" s="231" t="s">
        <v>581</v>
      </c>
      <c r="AV40" s="205" t="s">
        <v>175</v>
      </c>
    </row>
    <row r="41" spans="1:48" ht="49.9" customHeight="1" thickBot="1">
      <c r="A41" s="55">
        <v>2578</v>
      </c>
      <c r="B41" s="150" t="s">
        <v>590</v>
      </c>
      <c r="C41" s="150">
        <v>2056</v>
      </c>
      <c r="D41" s="150" t="s">
        <v>591</v>
      </c>
      <c r="E41" s="55" t="s">
        <v>364</v>
      </c>
      <c r="F41" s="58" t="s">
        <v>592</v>
      </c>
      <c r="G41" s="58" t="s">
        <v>593</v>
      </c>
      <c r="H41" s="55" t="s">
        <v>128</v>
      </c>
      <c r="I41" s="55" t="s">
        <v>474</v>
      </c>
      <c r="J41" s="55"/>
      <c r="K41" s="76" t="s">
        <v>369</v>
      </c>
      <c r="L41" s="148">
        <v>45686</v>
      </c>
      <c r="M41" s="162" t="s">
        <v>594</v>
      </c>
      <c r="N41" s="150" t="s">
        <v>382</v>
      </c>
      <c r="O41" s="150" t="s">
        <v>175</v>
      </c>
      <c r="P41" s="150" t="s">
        <v>373</v>
      </c>
      <c r="Q41" s="150" t="s">
        <v>381</v>
      </c>
      <c r="R41" s="150" t="s">
        <v>382</v>
      </c>
      <c r="S41" s="150" t="s">
        <v>410</v>
      </c>
      <c r="T41" s="150" t="s">
        <v>410</v>
      </c>
      <c r="U41" s="150">
        <f>'Portafolio P&amp;D'!Q9</f>
        <v>2023</v>
      </c>
      <c r="V41" s="150">
        <f>'Portafolio P&amp;D'!R9</f>
        <v>2025</v>
      </c>
      <c r="W41" s="158">
        <v>45747</v>
      </c>
      <c r="X41" s="109" t="s">
        <v>373</v>
      </c>
      <c r="Y41" s="149" t="s">
        <v>87</v>
      </c>
      <c r="Z41" s="55" t="s">
        <v>439</v>
      </c>
      <c r="AA41" s="149" t="s">
        <v>440</v>
      </c>
      <c r="AB41" s="150" t="s">
        <v>356</v>
      </c>
      <c r="AC41" s="55" t="s">
        <v>477</v>
      </c>
      <c r="AD41" s="163" t="str">
        <f>'Portafolio P&amp;D'!X9</f>
        <v>Angela Risco</v>
      </c>
      <c r="AE41" s="150" t="s">
        <v>442</v>
      </c>
      <c r="AF41" s="153"/>
      <c r="AG41" s="149"/>
      <c r="AH41" s="151">
        <v>45791</v>
      </c>
      <c r="AI41" s="248" t="s">
        <v>394</v>
      </c>
      <c r="AJ41" s="248"/>
      <c r="AK41" s="155" t="s">
        <v>373</v>
      </c>
      <c r="AL41" s="155" t="s">
        <v>373</v>
      </c>
      <c r="AM41" s="278" t="str">
        <f>IF(DemandaEstrateg_[[#This Row],[Tipo de Requerimiento]]="Proyecto",(DemandaEstrateg_[[#This Row],[% Avance ejecutado]]-DemandaEstrateg_[[#This Row],[% Avance Planificado]])/DemandaEstrateg_[[#This Row],[% Avance Planificado]],"No aplica")</f>
        <v>No aplica</v>
      </c>
      <c r="AN41" s="278" t="str">
        <f>IF(DemandaEstrateg_[[#This Row],[Tipo de Requerimiento]]="Proyecto",(DemandaEstrateg_[[#This Row],[% Avance ejecutado]]-DemandaEstrateg_[[#This Row],[% Avance Planificado]])/DemandaEstrateg_[[#This Row],[% Avance Planificado]],"No aplica")</f>
        <v>No aplica</v>
      </c>
      <c r="AO41" s="190"/>
      <c r="AP41" s="190"/>
      <c r="AQ41" s="153" t="s">
        <v>359</v>
      </c>
      <c r="AR41" s="450" t="s">
        <v>375</v>
      </c>
      <c r="AS41" s="159" t="str">
        <f>VLOOKUP(DemandaEstrateg_[[#This Row],[Últ. Estado CQ 14.05]],Tabla36[[Estado CQ]:[Estado TI]],3,FALSE)</f>
        <v>06. Calidad Finalizado</v>
      </c>
      <c r="AT41" s="152" t="str">
        <f>VLOOKUP(DemandaEstrateg_[[#This Row],[Estado TI]],Tabla12[],3,FALSE)</f>
        <v>02. En Ejecución</v>
      </c>
      <c r="AU41" s="231" t="s">
        <v>595</v>
      </c>
      <c r="AV41" s="205" t="s">
        <v>175</v>
      </c>
    </row>
    <row r="42" spans="1:48" ht="49.9" customHeight="1" thickBot="1">
      <c r="A42" s="55">
        <v>2582</v>
      </c>
      <c r="B42" s="156" t="s">
        <v>596</v>
      </c>
      <c r="C42" s="156">
        <v>2509</v>
      </c>
      <c r="D42" s="150" t="s">
        <v>597</v>
      </c>
      <c r="E42" s="55" t="s">
        <v>364</v>
      </c>
      <c r="F42" s="165" t="s">
        <v>598</v>
      </c>
      <c r="G42" s="165" t="s">
        <v>599</v>
      </c>
      <c r="H42" s="168" t="s">
        <v>128</v>
      </c>
      <c r="I42" s="168" t="s">
        <v>474</v>
      </c>
      <c r="J42" s="55" t="str">
        <f>'Portafolio P&amp;D'!$G$17</f>
        <v>Marco Ortiz; Andrea Peve</v>
      </c>
      <c r="K42" s="76" t="s">
        <v>369</v>
      </c>
      <c r="L42" s="176">
        <v>45624</v>
      </c>
      <c r="M42" s="162" t="s">
        <v>555</v>
      </c>
      <c r="N42" s="156" t="s">
        <v>482</v>
      </c>
      <c r="O42" s="156" t="s">
        <v>175</v>
      </c>
      <c r="P42" s="156" t="s">
        <v>175</v>
      </c>
      <c r="Q42" s="156" t="s">
        <v>381</v>
      </c>
      <c r="R42" s="150" t="s">
        <v>382</v>
      </c>
      <c r="S42" s="150" t="s">
        <v>410</v>
      </c>
      <c r="T42" s="150" t="s">
        <v>410</v>
      </c>
      <c r="U42" s="150">
        <f>'Portafolio P&amp;D'!Q17</f>
        <v>2023</v>
      </c>
      <c r="V42" s="150">
        <f>'Portafolio P&amp;D'!R17</f>
        <v>2025</v>
      </c>
      <c r="W42" s="158">
        <v>45747</v>
      </c>
      <c r="X42" s="109" t="s">
        <v>373</v>
      </c>
      <c r="Y42" s="168" t="s">
        <v>151</v>
      </c>
      <c r="Z42" s="55" t="s">
        <v>152</v>
      </c>
      <c r="AA42" s="162" t="s">
        <v>556</v>
      </c>
      <c r="AB42" s="156" t="s">
        <v>434</v>
      </c>
      <c r="AC42" s="150" t="s">
        <v>454</v>
      </c>
      <c r="AD42" s="156" t="str">
        <f>'Portafolio P&amp;D'!X17</f>
        <v>Elia Muñoz</v>
      </c>
      <c r="AE42" s="156" t="s">
        <v>486</v>
      </c>
      <c r="AF42" s="175"/>
      <c r="AG42" s="149"/>
      <c r="AH42" s="151">
        <v>45638</v>
      </c>
      <c r="AI42" s="247">
        <v>45823</v>
      </c>
      <c r="AJ42" s="247"/>
      <c r="AK42" s="155" t="s">
        <v>373</v>
      </c>
      <c r="AL42" s="155" t="s">
        <v>373</v>
      </c>
      <c r="AM42" s="278" t="str">
        <f>IF(DemandaEstrateg_[[#This Row],[Tipo de Requerimiento]]="Proyecto",(DemandaEstrateg_[[#This Row],[% Avance ejecutado]]-DemandaEstrateg_[[#This Row],[% Avance Planificado]])/DemandaEstrateg_[[#This Row],[% Avance Planificado]],"No aplica")</f>
        <v>No aplica</v>
      </c>
      <c r="AN42" s="278" t="str">
        <f>IF(DemandaEstrateg_[[#This Row],[Tipo de Requerimiento]]="Proyecto",(DemandaEstrateg_[[#This Row],[% Avance ejecutado]]-DemandaEstrateg_[[#This Row],[% Avance Planificado]])/DemandaEstrateg_[[#This Row],[% Avance Planificado]],"No aplica")</f>
        <v>No aplica</v>
      </c>
      <c r="AO42" s="190"/>
      <c r="AP42" s="447">
        <v>46021</v>
      </c>
      <c r="AQ42" s="153" t="s">
        <v>421</v>
      </c>
      <c r="AR42" s="153" t="s">
        <v>520</v>
      </c>
      <c r="AS42" s="159" t="str">
        <f>VLOOKUP(DemandaEstrateg_[[#This Row],[Últ. Estado CQ 14.05]],Tabla36[[Estado CQ]:[Estado TI]],3,FALSE)</f>
        <v>10. Descartado</v>
      </c>
      <c r="AT42" s="152" t="str">
        <f>VLOOKUP(DemandaEstrateg_[[#This Row],[Estado TI]],Tabla12[],3,FALSE)</f>
        <v>05. Descartado</v>
      </c>
      <c r="AU42" s="235" t="s">
        <v>600</v>
      </c>
      <c r="AV42" s="205" t="s">
        <v>175</v>
      </c>
    </row>
    <row r="43" spans="1:48" ht="49.9" customHeight="1" thickBot="1">
      <c r="A43" s="55">
        <v>2605</v>
      </c>
      <c r="B43" s="150" t="s">
        <v>601</v>
      </c>
      <c r="C43" s="150">
        <v>2056</v>
      </c>
      <c r="D43" s="150" t="s">
        <v>602</v>
      </c>
      <c r="E43" s="55" t="s">
        <v>364</v>
      </c>
      <c r="F43" s="58" t="s">
        <v>603</v>
      </c>
      <c r="G43" s="58" t="s">
        <v>604</v>
      </c>
      <c r="H43" s="55" t="s">
        <v>113</v>
      </c>
      <c r="I43" s="55" t="s">
        <v>474</v>
      </c>
      <c r="J43" s="55"/>
      <c r="K43" s="76" t="s">
        <v>369</v>
      </c>
      <c r="L43" s="148">
        <v>45706</v>
      </c>
      <c r="M43" s="149" t="s">
        <v>370</v>
      </c>
      <c r="N43" s="150" t="s">
        <v>382</v>
      </c>
      <c r="O43" s="150" t="s">
        <v>438</v>
      </c>
      <c r="P43" s="150" t="s">
        <v>373</v>
      </c>
      <c r="Q43" s="150" t="s">
        <v>381</v>
      </c>
      <c r="R43" s="150" t="s">
        <v>382</v>
      </c>
      <c r="S43" s="150" t="s">
        <v>410</v>
      </c>
      <c r="T43" s="150" t="s">
        <v>410</v>
      </c>
      <c r="U43" s="150">
        <f>'Portafolio P&amp;D'!Q9</f>
        <v>2023</v>
      </c>
      <c r="V43" s="150">
        <f>'Portafolio P&amp;D'!R9</f>
        <v>2025</v>
      </c>
      <c r="W43" s="76">
        <v>45706</v>
      </c>
      <c r="X43" s="109" t="s">
        <v>373</v>
      </c>
      <c r="Y43" s="149" t="s">
        <v>87</v>
      </c>
      <c r="Z43" s="55" t="s">
        <v>439</v>
      </c>
      <c r="AA43" s="149" t="s">
        <v>440</v>
      </c>
      <c r="AB43" s="150" t="s">
        <v>356</v>
      </c>
      <c r="AC43" s="55" t="s">
        <v>477</v>
      </c>
      <c r="AD43" s="163" t="str">
        <f>'Portafolio P&amp;D'!X9</f>
        <v>Angela Risco</v>
      </c>
      <c r="AE43" s="150" t="s">
        <v>442</v>
      </c>
      <c r="AF43" s="153"/>
      <c r="AG43" s="149"/>
      <c r="AH43" s="151">
        <v>45663</v>
      </c>
      <c r="AI43" s="247">
        <v>45777</v>
      </c>
      <c r="AJ43" s="247"/>
      <c r="AK43" s="155" t="s">
        <v>373</v>
      </c>
      <c r="AL43" s="155" t="s">
        <v>373</v>
      </c>
      <c r="AM43" s="278" t="str">
        <f>IF(DemandaEstrateg_[[#This Row],[Tipo de Requerimiento]]="Proyecto",(DemandaEstrateg_[[#This Row],[% Avance ejecutado]]-DemandaEstrateg_[[#This Row],[% Avance Planificado]])/DemandaEstrateg_[[#This Row],[% Avance Planificado]],"No aplica")</f>
        <v>No aplica</v>
      </c>
      <c r="AN43" s="278" t="str">
        <f>IF(DemandaEstrateg_[[#This Row],[Tipo de Requerimiento]]="Proyecto",(DemandaEstrateg_[[#This Row],[% Avance ejecutado]]-DemandaEstrateg_[[#This Row],[% Avance Planificado]])/DemandaEstrateg_[[#This Row],[% Avance Planificado]],"No aplica")</f>
        <v>No aplica</v>
      </c>
      <c r="AO43" s="190"/>
      <c r="AP43" s="190"/>
      <c r="AQ43" s="153" t="s">
        <v>359</v>
      </c>
      <c r="AR43" s="153" t="s">
        <v>386</v>
      </c>
      <c r="AS43" s="159" t="str">
        <f>VLOOKUP(DemandaEstrateg_[[#This Row],[Últ. Estado CQ 14.05]],Tabla36[[Estado CQ]:[Estado TI]],3,FALSE)</f>
        <v>03. En Desarrollo</v>
      </c>
      <c r="AT43" s="152" t="str">
        <f>VLOOKUP(DemandaEstrateg_[[#This Row],[Estado TI]],Tabla12[],3,FALSE)</f>
        <v>02. En Ejecución</v>
      </c>
      <c r="AU43" s="231" t="s">
        <v>605</v>
      </c>
      <c r="AV43" s="205" t="s">
        <v>175</v>
      </c>
    </row>
    <row r="44" spans="1:48" ht="49.9" customHeight="1">
      <c r="A44" s="55">
        <v>2606</v>
      </c>
      <c r="B44" s="150" t="s">
        <v>606</v>
      </c>
      <c r="C44" s="177">
        <v>2487</v>
      </c>
      <c r="D44" s="150" t="s">
        <v>607</v>
      </c>
      <c r="E44" s="55" t="s">
        <v>364</v>
      </c>
      <c r="F44" s="58" t="s">
        <v>608</v>
      </c>
      <c r="G44" s="58" t="s">
        <v>609</v>
      </c>
      <c r="H44" s="55" t="s">
        <v>113</v>
      </c>
      <c r="I44" s="55" t="s">
        <v>368</v>
      </c>
      <c r="J44" s="55" t="str">
        <f>'Portafolio P&amp;D'!$G$11</f>
        <v>Luis Garcia; 
Liliana Casafranca</v>
      </c>
      <c r="K44" s="76" t="s">
        <v>369</v>
      </c>
      <c r="L44" s="148">
        <v>45706</v>
      </c>
      <c r="M44" s="149" t="s">
        <v>370</v>
      </c>
      <c r="N44" s="150" t="s">
        <v>349</v>
      </c>
      <c r="O44" s="150" t="s">
        <v>175</v>
      </c>
      <c r="P44" s="150" t="s">
        <v>373</v>
      </c>
      <c r="Q44" s="150" t="s">
        <v>461</v>
      </c>
      <c r="R44" s="150" t="s">
        <v>382</v>
      </c>
      <c r="S44" s="150" t="s">
        <v>410</v>
      </c>
      <c r="T44" s="150" t="s">
        <v>410</v>
      </c>
      <c r="U44" s="150">
        <f>'Portafolio P&amp;D'!Q11</f>
        <v>2021</v>
      </c>
      <c r="V44" s="150">
        <f>'Portafolio P&amp;D'!R11</f>
        <v>2025</v>
      </c>
      <c r="W44" s="76">
        <v>45706</v>
      </c>
      <c r="X44" s="109" t="s">
        <v>373</v>
      </c>
      <c r="Y44" s="149" t="s">
        <v>107</v>
      </c>
      <c r="Z44" s="55" t="s">
        <v>374</v>
      </c>
      <c r="AA44" s="149" t="s">
        <v>355</v>
      </c>
      <c r="AB44" s="150" t="s">
        <v>356</v>
      </c>
      <c r="AC44" s="150" t="s">
        <v>357</v>
      </c>
      <c r="AD44" s="150" t="str">
        <f>'Portafolio P&amp;D'!X11</f>
        <v>Jorge Ruiz</v>
      </c>
      <c r="AE44" s="150" t="s">
        <v>610</v>
      </c>
      <c r="AF44" s="153"/>
      <c r="AG44" s="149"/>
      <c r="AH44" s="151">
        <v>45664</v>
      </c>
      <c r="AI44" s="247">
        <v>45735</v>
      </c>
      <c r="AJ44" s="247">
        <v>45735</v>
      </c>
      <c r="AK44" s="155" t="s">
        <v>373</v>
      </c>
      <c r="AL44" s="155" t="s">
        <v>373</v>
      </c>
      <c r="AM44" s="278" t="str">
        <f>IF(DemandaEstrateg_[[#This Row],[Tipo de Requerimiento]]="Proyecto",(DemandaEstrateg_[[#This Row],[% Avance ejecutado]]-DemandaEstrateg_[[#This Row],[% Avance Planificado]])/DemandaEstrateg_[[#This Row],[% Avance Planificado]],"No aplica")</f>
        <v>No aplica</v>
      </c>
      <c r="AN44" s="278" t="str">
        <f>IF(DemandaEstrateg_[[#This Row],[Tipo de Requerimiento]]="Proyecto",(DemandaEstrateg_[[#This Row],[% Avance ejecutado]]-DemandaEstrateg_[[#This Row],[% Avance Planificado]])/DemandaEstrateg_[[#This Row],[% Avance Planificado]],"No aplica")</f>
        <v>No aplica</v>
      </c>
      <c r="AO44" s="190"/>
      <c r="AP44" s="375">
        <v>45717</v>
      </c>
      <c r="AQ44" s="153" t="s">
        <v>611</v>
      </c>
      <c r="AR44" s="150" t="s">
        <v>612</v>
      </c>
      <c r="AS44" s="159" t="str">
        <f>VLOOKUP(DemandaEstrateg_[[#This Row],[Últ. Estado CQ 14.05]],Tabla36[[Estado CQ]:[Estado TI]],3,FALSE)</f>
        <v>08. Producción Finalizada</v>
      </c>
      <c r="AT44" s="152" t="str">
        <f>VLOOKUP(DemandaEstrateg_[[#This Row],[Estado TI]],Tabla12[],3,FALSE)</f>
        <v>03. Implementado</v>
      </c>
      <c r="AU44" s="231" t="s">
        <v>613</v>
      </c>
      <c r="AV44" s="205" t="s">
        <v>175</v>
      </c>
    </row>
    <row r="45" spans="1:48" ht="49.9" customHeight="1" thickBot="1">
      <c r="A45" s="55">
        <v>2608</v>
      </c>
      <c r="B45" s="150" t="s">
        <v>614</v>
      </c>
      <c r="C45" s="177">
        <v>2487</v>
      </c>
      <c r="D45" s="150" t="s">
        <v>615</v>
      </c>
      <c r="E45" s="55" t="s">
        <v>364</v>
      </c>
      <c r="F45" s="58" t="s">
        <v>616</v>
      </c>
      <c r="G45" s="58" t="s">
        <v>609</v>
      </c>
      <c r="H45" s="55" t="s">
        <v>113</v>
      </c>
      <c r="I45" s="55" t="s">
        <v>368</v>
      </c>
      <c r="J45" s="55" t="str">
        <f>'Portafolio P&amp;D'!$G$11</f>
        <v>Luis Garcia; 
Liliana Casafranca</v>
      </c>
      <c r="K45" s="76" t="s">
        <v>369</v>
      </c>
      <c r="L45" s="148">
        <v>45706</v>
      </c>
      <c r="M45" s="149" t="s">
        <v>370</v>
      </c>
      <c r="N45" s="150" t="s">
        <v>349</v>
      </c>
      <c r="O45" s="150" t="s">
        <v>175</v>
      </c>
      <c r="P45" s="150" t="s">
        <v>373</v>
      </c>
      <c r="Q45" s="150" t="s">
        <v>461</v>
      </c>
      <c r="R45" s="150" t="s">
        <v>382</v>
      </c>
      <c r="S45" s="150" t="s">
        <v>410</v>
      </c>
      <c r="T45" s="150" t="s">
        <v>410</v>
      </c>
      <c r="U45" s="150">
        <f>'Portafolio P&amp;D'!Q11</f>
        <v>2021</v>
      </c>
      <c r="V45" s="150">
        <f>'Portafolio P&amp;D'!R11</f>
        <v>2025</v>
      </c>
      <c r="W45" s="76">
        <v>45706</v>
      </c>
      <c r="X45" s="109" t="s">
        <v>373</v>
      </c>
      <c r="Y45" s="149" t="s">
        <v>107</v>
      </c>
      <c r="Z45" s="55" t="s">
        <v>374</v>
      </c>
      <c r="AA45" s="149" t="s">
        <v>355</v>
      </c>
      <c r="AB45" s="150" t="s">
        <v>356</v>
      </c>
      <c r="AC45" s="150" t="s">
        <v>357</v>
      </c>
      <c r="AD45" s="150" t="str">
        <f>'Portafolio P&amp;D'!X11</f>
        <v>Jorge Ruiz</v>
      </c>
      <c r="AE45" s="150" t="s">
        <v>358</v>
      </c>
      <c r="AF45" s="153"/>
      <c r="AG45" s="149"/>
      <c r="AH45" s="151">
        <v>45663</v>
      </c>
      <c r="AI45" s="247">
        <v>45747</v>
      </c>
      <c r="AJ45" s="247"/>
      <c r="AK45" s="155" t="s">
        <v>373</v>
      </c>
      <c r="AL45" s="155" t="s">
        <v>373</v>
      </c>
      <c r="AM45" s="278" t="str">
        <f>IF(DemandaEstrateg_[[#This Row],[Tipo de Requerimiento]]="Proyecto",(DemandaEstrateg_[[#This Row],[% Avance ejecutado]]-DemandaEstrateg_[[#This Row],[% Avance Planificado]])/DemandaEstrateg_[[#This Row],[% Avance Planificado]],"No aplica")</f>
        <v>No aplica</v>
      </c>
      <c r="AN45" s="278" t="str">
        <f>IF(DemandaEstrateg_[[#This Row],[Tipo de Requerimiento]]="Proyecto",(DemandaEstrateg_[[#This Row],[% Avance ejecutado]]-DemandaEstrateg_[[#This Row],[% Avance Planificado]])/DemandaEstrateg_[[#This Row],[% Avance Planificado]],"No aplica")</f>
        <v>No aplica</v>
      </c>
      <c r="AO45" s="190"/>
      <c r="AP45" s="374">
        <v>46023</v>
      </c>
      <c r="AQ45" s="191" t="s">
        <v>359</v>
      </c>
      <c r="AR45" s="153" t="s">
        <v>386</v>
      </c>
      <c r="AS45" s="159" t="str">
        <f>VLOOKUP(DemandaEstrateg_[[#This Row],[Últ. Estado CQ 14.05]],Tabla36[[Estado CQ]:[Estado TI]],3,FALSE)</f>
        <v>03. En Desarrollo</v>
      </c>
      <c r="AT45" s="152" t="str">
        <f>VLOOKUP(DemandaEstrateg_[[#This Row],[Estado TI]],Tabla12[],3,FALSE)</f>
        <v>02. En Ejecución</v>
      </c>
      <c r="AU45" s="231" t="s">
        <v>613</v>
      </c>
      <c r="AV45" s="205" t="s">
        <v>175</v>
      </c>
    </row>
    <row r="46" spans="1:48" ht="49.9" customHeight="1" thickBot="1">
      <c r="A46" s="55">
        <v>2611</v>
      </c>
      <c r="B46" s="150" t="s">
        <v>617</v>
      </c>
      <c r="C46" s="177">
        <v>2487</v>
      </c>
      <c r="D46" s="150" t="s">
        <v>618</v>
      </c>
      <c r="E46" s="55" t="s">
        <v>364</v>
      </c>
      <c r="F46" s="58" t="s">
        <v>619</v>
      </c>
      <c r="G46" s="58" t="s">
        <v>609</v>
      </c>
      <c r="H46" s="55" t="s">
        <v>113</v>
      </c>
      <c r="I46" s="55" t="s">
        <v>368</v>
      </c>
      <c r="J46" s="55" t="str">
        <f>'Portafolio P&amp;D'!$G$11</f>
        <v>Luis Garcia; 
Liliana Casafranca</v>
      </c>
      <c r="K46" s="76" t="s">
        <v>369</v>
      </c>
      <c r="L46" s="148">
        <v>45706</v>
      </c>
      <c r="M46" s="149" t="s">
        <v>370</v>
      </c>
      <c r="N46" s="150" t="s">
        <v>349</v>
      </c>
      <c r="O46" s="150" t="s">
        <v>175</v>
      </c>
      <c r="P46" s="150" t="s">
        <v>373</v>
      </c>
      <c r="Q46" s="150" t="s">
        <v>461</v>
      </c>
      <c r="R46" s="150" t="s">
        <v>382</v>
      </c>
      <c r="S46" s="150" t="s">
        <v>410</v>
      </c>
      <c r="T46" s="150" t="s">
        <v>410</v>
      </c>
      <c r="U46" s="150">
        <f>'Portafolio P&amp;D'!Q11</f>
        <v>2021</v>
      </c>
      <c r="V46" s="150">
        <f>'Portafolio P&amp;D'!R11</f>
        <v>2025</v>
      </c>
      <c r="W46" s="76">
        <v>45706</v>
      </c>
      <c r="X46" s="109" t="s">
        <v>373</v>
      </c>
      <c r="Y46" s="149" t="s">
        <v>107</v>
      </c>
      <c r="Z46" s="55" t="s">
        <v>374</v>
      </c>
      <c r="AA46" s="149" t="s">
        <v>355</v>
      </c>
      <c r="AB46" s="150" t="s">
        <v>356</v>
      </c>
      <c r="AC46" s="150" t="s">
        <v>357</v>
      </c>
      <c r="AD46" s="150" t="str">
        <f>'Portafolio P&amp;D'!X11</f>
        <v>Jorge Ruiz</v>
      </c>
      <c r="AE46" s="150" t="s">
        <v>620</v>
      </c>
      <c r="AF46" s="153"/>
      <c r="AG46" s="149"/>
      <c r="AH46" s="151">
        <v>45663</v>
      </c>
      <c r="AI46" s="247">
        <v>45747</v>
      </c>
      <c r="AJ46" s="247"/>
      <c r="AK46" s="155" t="s">
        <v>373</v>
      </c>
      <c r="AL46" s="155" t="s">
        <v>373</v>
      </c>
      <c r="AM46" s="278" t="str">
        <f>IF(DemandaEstrateg_[[#This Row],[Tipo de Requerimiento]]="Proyecto",(DemandaEstrateg_[[#This Row],[% Avance ejecutado]]-DemandaEstrateg_[[#This Row],[% Avance Planificado]])/DemandaEstrateg_[[#This Row],[% Avance Planificado]],"No aplica")</f>
        <v>No aplica</v>
      </c>
      <c r="AN46" s="278" t="str">
        <f>IF(DemandaEstrateg_[[#This Row],[Tipo de Requerimiento]]="Proyecto",(DemandaEstrateg_[[#This Row],[% Avance ejecutado]]-DemandaEstrateg_[[#This Row],[% Avance Planificado]])/DemandaEstrateg_[[#This Row],[% Avance Planificado]],"No aplica")</f>
        <v>No aplica</v>
      </c>
      <c r="AO46" s="190"/>
      <c r="AP46" s="374">
        <v>46023</v>
      </c>
      <c r="AQ46" s="191" t="s">
        <v>359</v>
      </c>
      <c r="AR46" s="153" t="s">
        <v>386</v>
      </c>
      <c r="AS46" s="159" t="str">
        <f>VLOOKUP(DemandaEstrateg_[[#This Row],[Últ. Estado CQ 14.05]],Tabla36[[Estado CQ]:[Estado TI]],3,FALSE)</f>
        <v>03. En Desarrollo</v>
      </c>
      <c r="AT46" s="152" t="str">
        <f>VLOOKUP(DemandaEstrateg_[[#This Row],[Estado TI]],Tabla12[],3,FALSE)</f>
        <v>02. En Ejecución</v>
      </c>
      <c r="AU46" s="231" t="s">
        <v>613</v>
      </c>
      <c r="AV46" s="205" t="s">
        <v>175</v>
      </c>
    </row>
    <row r="47" spans="1:48" ht="49.9" customHeight="1" thickBot="1">
      <c r="A47" s="55">
        <v>2612</v>
      </c>
      <c r="B47" s="150" t="s">
        <v>621</v>
      </c>
      <c r="C47" s="177">
        <v>2487</v>
      </c>
      <c r="D47" s="150" t="s">
        <v>622</v>
      </c>
      <c r="E47" s="55" t="s">
        <v>364</v>
      </c>
      <c r="F47" s="58" t="s">
        <v>623</v>
      </c>
      <c r="G47" s="58" t="s">
        <v>609</v>
      </c>
      <c r="H47" s="55" t="s">
        <v>113</v>
      </c>
      <c r="I47" s="55" t="s">
        <v>368</v>
      </c>
      <c r="J47" s="55" t="str">
        <f>'Portafolio P&amp;D'!$G$11</f>
        <v>Luis Garcia; 
Liliana Casafranca</v>
      </c>
      <c r="K47" s="76" t="s">
        <v>369</v>
      </c>
      <c r="L47" s="148">
        <v>45706</v>
      </c>
      <c r="M47" s="149" t="s">
        <v>370</v>
      </c>
      <c r="N47" s="150" t="s">
        <v>349</v>
      </c>
      <c r="O47" s="150" t="s">
        <v>175</v>
      </c>
      <c r="P47" s="150" t="s">
        <v>373</v>
      </c>
      <c r="Q47" s="150" t="s">
        <v>461</v>
      </c>
      <c r="R47" s="150" t="s">
        <v>382</v>
      </c>
      <c r="S47" s="150" t="s">
        <v>410</v>
      </c>
      <c r="T47" s="150" t="s">
        <v>410</v>
      </c>
      <c r="U47" s="150">
        <f>'Portafolio P&amp;D'!Q11</f>
        <v>2021</v>
      </c>
      <c r="V47" s="150">
        <f>'Portafolio P&amp;D'!R11</f>
        <v>2025</v>
      </c>
      <c r="W47" s="76">
        <v>45706</v>
      </c>
      <c r="X47" s="109" t="s">
        <v>373</v>
      </c>
      <c r="Y47" s="149" t="s">
        <v>107</v>
      </c>
      <c r="Z47" s="55" t="s">
        <v>374</v>
      </c>
      <c r="AA47" s="149" t="s">
        <v>355</v>
      </c>
      <c r="AB47" s="150" t="s">
        <v>434</v>
      </c>
      <c r="AC47" s="150" t="s">
        <v>357</v>
      </c>
      <c r="AD47" s="150" t="str">
        <f>'Portafolio P&amp;D'!X11</f>
        <v>Jorge Ruiz</v>
      </c>
      <c r="AE47" s="150" t="s">
        <v>624</v>
      </c>
      <c r="AF47" s="153"/>
      <c r="AG47" s="149"/>
      <c r="AH47" s="151">
        <v>45691</v>
      </c>
      <c r="AI47" s="247">
        <v>45747</v>
      </c>
      <c r="AJ47" s="247"/>
      <c r="AK47" s="155" t="s">
        <v>373</v>
      </c>
      <c r="AL47" s="155" t="s">
        <v>373</v>
      </c>
      <c r="AM47" s="278" t="str">
        <f>IF(DemandaEstrateg_[[#This Row],[Tipo de Requerimiento]]="Proyecto",(DemandaEstrateg_[[#This Row],[% Avance ejecutado]]-DemandaEstrateg_[[#This Row],[% Avance Planificado]])/DemandaEstrateg_[[#This Row],[% Avance Planificado]],"No aplica")</f>
        <v>No aplica</v>
      </c>
      <c r="AN47" s="278" t="str">
        <f>IF(DemandaEstrateg_[[#This Row],[Tipo de Requerimiento]]="Proyecto",(DemandaEstrateg_[[#This Row],[% Avance ejecutado]]-DemandaEstrateg_[[#This Row],[% Avance Planificado]])/DemandaEstrateg_[[#This Row],[% Avance Planificado]],"No aplica")</f>
        <v>No aplica</v>
      </c>
      <c r="AO47" s="190"/>
      <c r="AP47" s="374">
        <v>46023</v>
      </c>
      <c r="AQ47" s="191" t="s">
        <v>359</v>
      </c>
      <c r="AR47" s="153" t="s">
        <v>386</v>
      </c>
      <c r="AS47" s="159" t="str">
        <f>VLOOKUP(DemandaEstrateg_[[#This Row],[Últ. Estado CQ 14.05]],Tabla36[[Estado CQ]:[Estado TI]],3,FALSE)</f>
        <v>03. En Desarrollo</v>
      </c>
      <c r="AT47" s="152" t="str">
        <f>VLOOKUP(DemandaEstrateg_[[#This Row],[Estado TI]],Tabla12[],3,FALSE)</f>
        <v>02. En Ejecución</v>
      </c>
      <c r="AU47" s="231" t="s">
        <v>613</v>
      </c>
      <c r="AV47" s="205" t="s">
        <v>175</v>
      </c>
    </row>
    <row r="48" spans="1:48" ht="49.9" customHeight="1">
      <c r="A48" s="168">
        <v>2647</v>
      </c>
      <c r="B48" s="150" t="s">
        <v>554</v>
      </c>
      <c r="C48" s="150" t="s">
        <v>175</v>
      </c>
      <c r="D48" s="150" t="s">
        <v>554</v>
      </c>
      <c r="E48" s="168" t="s">
        <v>347</v>
      </c>
      <c r="F48" s="165" t="str">
        <f>'Portafolio P&amp;D'!C37</f>
        <v>Cuenta Digital BN</v>
      </c>
      <c r="G48" s="165" t="str">
        <f>'Portafolio P&amp;D'!D37</f>
        <v>La Cuenta Digital BN cumplirá la misma función y objeto de la Cuenta DNI, la única diferencia será el soporte tecnológico, de esta manera, se tendrá un control y monitoreo efectivo de la plataforma que soportará la Cuenta DNI.</v>
      </c>
      <c r="H48" s="168" t="str">
        <f>'Portafolio P&amp;D'!E37</f>
        <v>Banca Digital</v>
      </c>
      <c r="I48" s="168" t="str">
        <f>'Portafolio P&amp;D'!F37</f>
        <v>Luis Palacios</v>
      </c>
      <c r="J48" s="55" t="str">
        <f>'Portafolio P&amp;D'!G37</f>
        <v>Luis Palacios</v>
      </c>
      <c r="K48" s="55" t="str">
        <f>'Portafolio P&amp;D'!H37</f>
        <v>Juan Carlos Palomino</v>
      </c>
      <c r="L48" s="174">
        <v>45712</v>
      </c>
      <c r="M48" s="178" t="s">
        <v>625</v>
      </c>
      <c r="N48" s="156" t="s">
        <v>626</v>
      </c>
      <c r="O48" s="156" t="s">
        <v>438</v>
      </c>
      <c r="P48" s="156" t="s">
        <v>373</v>
      </c>
      <c r="Q48" s="156" t="s">
        <v>97</v>
      </c>
      <c r="R48" s="150" t="s">
        <v>382</v>
      </c>
      <c r="S48" s="150" t="s">
        <v>410</v>
      </c>
      <c r="T48" s="150" t="s">
        <v>410</v>
      </c>
      <c r="U48" s="150">
        <f>'Portafolio P&amp;D'!Q25</f>
        <v>2023</v>
      </c>
      <c r="V48" s="150">
        <f>'Portafolio P&amp;D'!R25</f>
        <v>2024</v>
      </c>
      <c r="W48" s="179">
        <f>'Portafolio P&amp;D'!M37</f>
        <v>45643</v>
      </c>
      <c r="X48" s="277">
        <f>'Portafolio P&amp;D'!I37</f>
        <v>0</v>
      </c>
      <c r="Y48" s="156" t="s">
        <v>270</v>
      </c>
      <c r="Z48" s="55" t="s">
        <v>152</v>
      </c>
      <c r="AA48" s="162" t="s">
        <v>627</v>
      </c>
      <c r="AB48" s="156" t="s">
        <v>356</v>
      </c>
      <c r="AC48" s="156" t="s">
        <v>628</v>
      </c>
      <c r="AD48" s="156" t="str">
        <f>'Portafolio P&amp;D'!X37</f>
        <v>Johnny Rocca</v>
      </c>
      <c r="AE48" s="156" t="s">
        <v>629</v>
      </c>
      <c r="AF48" s="175"/>
      <c r="AG48" s="180"/>
      <c r="AH48" s="151">
        <f>'Portafolio P&amp;D'!Y37</f>
        <v>45418</v>
      </c>
      <c r="AI48" s="154">
        <f>'Portafolio P&amp;D'!Z37</f>
        <v>46018</v>
      </c>
      <c r="AJ48" s="154"/>
      <c r="AK48" s="155">
        <f>'Portafolio P&amp;D'!AA37</f>
        <v>1</v>
      </c>
      <c r="AL48" s="155">
        <f>'Portafolio P&amp;D'!AB37</f>
        <v>1</v>
      </c>
      <c r="AM48" s="278">
        <f>IF(DemandaEstrateg_[[#This Row],[Tipo de Requerimiento]]="Proyecto",(DemandaEstrateg_[[#This Row],[% Avance ejecutado]]-DemandaEstrateg_[[#This Row],[% Avance Planificado]])/DemandaEstrateg_[[#This Row],[% Avance Planificado]],"No aplica")</f>
        <v>0</v>
      </c>
      <c r="AN48" s="190">
        <f>IF(DemandaEstrateg_[[#This Row],[Tipo de Requerimiento]]="Proyecto",(DemandaEstrateg_[[#This Row],[% Avance ejecutado]]-DemandaEstrateg_[[#This Row],[% Avance Planificado]])/DemandaEstrateg_[[#This Row],[% Avance Planificado]],"No aplica")</f>
        <v>0</v>
      </c>
      <c r="AO48" s="190"/>
      <c r="AP48" s="290">
        <v>45962</v>
      </c>
      <c r="AQ48" s="153" t="s">
        <v>421</v>
      </c>
      <c r="AR48" s="320" t="s">
        <v>449</v>
      </c>
      <c r="AS48" s="320" t="s">
        <v>449</v>
      </c>
      <c r="AT48" s="152" t="str">
        <f>VLOOKUP(DemandaEstrateg_[[#This Row],[Estado TI]],Tabla12[],3,FALSE)</f>
        <v>04. Finalizado</v>
      </c>
      <c r="AU48" s="231" t="s">
        <v>630</v>
      </c>
      <c r="AV48" s="214" t="str">
        <f>'Portafolio P&amp;D'!B37</f>
        <v>PROCDBN-EO05-37</v>
      </c>
    </row>
    <row r="49" spans="1:48" ht="49.9" customHeight="1">
      <c r="A49" s="55">
        <v>2649</v>
      </c>
      <c r="B49" s="150" t="s">
        <v>554</v>
      </c>
      <c r="C49" s="150" t="s">
        <v>175</v>
      </c>
      <c r="D49" s="150" t="s">
        <v>554</v>
      </c>
      <c r="E49" s="55" t="s">
        <v>347</v>
      </c>
      <c r="F49" s="58" t="str">
        <f>'Portafolio P&amp;D'!C36</f>
        <v>Solución del procesamiento de operaciones de pagaduría del Estado MEF-SIAF Y SUNAT</v>
      </c>
      <c r="G49" s="58" t="str">
        <f>'Portafolio P&amp;D'!D36</f>
        <v>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v>
      </c>
      <c r="H49" s="55" t="str">
        <f>'Portafolio P&amp;D'!E36</f>
        <v>Operaciones</v>
      </c>
      <c r="I49" s="55" t="str">
        <f>'Portafolio P&amp;D'!$F$36</f>
        <v>María Luisa Guevara</v>
      </c>
      <c r="J49" s="55" t="str">
        <f>'Portafolio P&amp;D'!$G$36</f>
        <v>Marco Ortiz</v>
      </c>
      <c r="K49" s="150" t="str">
        <f>'Portafolio P&amp;D'!H36</f>
        <v>Rina Roca</v>
      </c>
      <c r="L49" s="148">
        <v>45663</v>
      </c>
      <c r="M49" s="162" t="s">
        <v>631</v>
      </c>
      <c r="N49" s="150" t="s">
        <v>632</v>
      </c>
      <c r="O49" s="150" t="s">
        <v>633</v>
      </c>
      <c r="P49" s="150" t="s">
        <v>373</v>
      </c>
      <c r="Q49" s="150" t="s">
        <v>483</v>
      </c>
      <c r="R49" s="150" t="s">
        <v>382</v>
      </c>
      <c r="S49" s="150" t="s">
        <v>410</v>
      </c>
      <c r="T49" s="150" t="s">
        <v>410</v>
      </c>
      <c r="U49" s="150">
        <f>'Portafolio P&amp;D'!Q36</f>
        <v>2024</v>
      </c>
      <c r="V49" s="150">
        <f>'Portafolio P&amp;D'!R36</f>
        <v>2026</v>
      </c>
      <c r="W49" s="76">
        <f>'Portafolio P&amp;D'!M36</f>
        <v>45677</v>
      </c>
      <c r="X49" s="277">
        <f>'Portafolio P&amp;D'!I36</f>
        <v>2815186.06</v>
      </c>
      <c r="Y49" s="150" t="s">
        <v>263</v>
      </c>
      <c r="Z49" s="55" t="s">
        <v>634</v>
      </c>
      <c r="AA49" s="162" t="s">
        <v>635</v>
      </c>
      <c r="AB49" s="150" t="s">
        <v>636</v>
      </c>
      <c r="AC49" s="150" t="s">
        <v>637</v>
      </c>
      <c r="AD49" s="150" t="str">
        <f>'Portafolio P&amp;D'!X36</f>
        <v>Eduardo Cardenas / Elia Muñoz</v>
      </c>
      <c r="AE49" s="150" t="s">
        <v>638</v>
      </c>
      <c r="AF49" s="153"/>
      <c r="AG49" s="149"/>
      <c r="AH49" s="151">
        <v>45600</v>
      </c>
      <c r="AI49" s="154">
        <v>45518</v>
      </c>
      <c r="AJ49" s="154"/>
      <c r="AK49" s="155">
        <v>0.87</v>
      </c>
      <c r="AL49" s="155">
        <v>0.72</v>
      </c>
      <c r="AM49" s="278">
        <f>IF(DemandaEstrateg_[[#This Row],[Tipo de Requerimiento]]="Proyecto",(DemandaEstrateg_[[#This Row],[% Avance ejecutado]]-DemandaEstrateg_[[#This Row],[% Avance Planificado]])/DemandaEstrateg_[[#This Row],[% Avance Planificado]],"No aplica")</f>
        <v>-0.17241379310344832</v>
      </c>
      <c r="AN49" s="190">
        <f>IF(DemandaEstrateg_[[#This Row],[Tipo de Requerimiento]]="Proyecto",(DemandaEstrateg_[[#This Row],[% Avance ejecutado]]-DemandaEstrateg_[[#This Row],[% Avance Planificado]])/DemandaEstrateg_[[#This Row],[% Avance Planificado]],"No aplica")</f>
        <v>-0.17241379310344832</v>
      </c>
      <c r="AO49" s="190"/>
      <c r="AP49" s="374">
        <v>46248</v>
      </c>
      <c r="AQ49" s="153" t="s">
        <v>639</v>
      </c>
      <c r="AR49" s="153" t="s">
        <v>394</v>
      </c>
      <c r="AS49" s="320" t="s">
        <v>360</v>
      </c>
      <c r="AT49" s="152" t="str">
        <f>VLOOKUP(DemandaEstrateg_[[#This Row],[Estado TI]],Tabla12[],3,FALSE)</f>
        <v>02. En Ejecución</v>
      </c>
      <c r="AU49" s="231" t="s">
        <v>640</v>
      </c>
      <c r="AV49" s="214" t="str">
        <f>'Portafolio P&amp;D'!B36</f>
        <v>PROSPOPEMSS-OE08-25-38</v>
      </c>
    </row>
    <row r="50" spans="1:48" ht="49.9" customHeight="1">
      <c r="A50" s="55">
        <v>2681</v>
      </c>
      <c r="B50" s="150" t="s">
        <v>641</v>
      </c>
      <c r="C50" s="150" t="s">
        <v>175</v>
      </c>
      <c r="D50" s="150" t="s">
        <v>397</v>
      </c>
      <c r="E50" s="55" t="s">
        <v>364</v>
      </c>
      <c r="F50" s="58" t="str">
        <f>'Portafolio P&amp;D'!C8</f>
        <v>Pruebas de concepto Cajeros Automáticos Depositarios</v>
      </c>
      <c r="G50" s="58" t="str">
        <f>'Portafolio P&amp;D'!D8</f>
        <v>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v>
      </c>
      <c r="H50" s="55" t="str">
        <f>'Portafolio P&amp;D'!E8</f>
        <v>Banca Digital</v>
      </c>
      <c r="I50" s="55" t="str">
        <f>'Portafolio P&amp;D'!F8</f>
        <v>Diego Marcelo</v>
      </c>
      <c r="J50" s="55" t="str">
        <f>'Portafolio P&amp;D'!G8</f>
        <v>Por definir</v>
      </c>
      <c r="K50" s="150" t="str">
        <f>'Portafolio P&amp;D'!H8</f>
        <v>Juan Carlos Palomino</v>
      </c>
      <c r="L50" s="148">
        <v>45735</v>
      </c>
      <c r="M50" s="162" t="s">
        <v>642</v>
      </c>
      <c r="N50" s="150" t="s">
        <v>643</v>
      </c>
      <c r="O50" s="150" t="s">
        <v>175</v>
      </c>
      <c r="P50" s="150" t="s">
        <v>373</v>
      </c>
      <c r="Q50" s="150" t="s">
        <v>97</v>
      </c>
      <c r="R50" s="150" t="s">
        <v>382</v>
      </c>
      <c r="S50" s="150" t="s">
        <v>410</v>
      </c>
      <c r="T50" s="150" t="s">
        <v>410</v>
      </c>
      <c r="U50" s="150">
        <f>'Portafolio P&amp;D'!Q8</f>
        <v>2023</v>
      </c>
      <c r="V50" s="150">
        <f>'Portafolio P&amp;D'!R8</f>
        <v>2026</v>
      </c>
      <c r="W50" s="158">
        <f>'Portafolio P&amp;D'!M8</f>
        <v>45121</v>
      </c>
      <c r="X50" s="277">
        <f>'Portafolio P&amp;D'!I8</f>
        <v>866957</v>
      </c>
      <c r="Y50" s="150" t="s">
        <v>80</v>
      </c>
      <c r="Z50" s="55" t="s">
        <v>644</v>
      </c>
      <c r="AA50" s="162" t="s">
        <v>394</v>
      </c>
      <c r="AB50" s="150" t="s">
        <v>645</v>
      </c>
      <c r="AC50" s="182" t="s">
        <v>646</v>
      </c>
      <c r="AD50" s="150" t="str">
        <f>'Portafolio P&amp;D'!X8</f>
        <v>Felix Ochoa</v>
      </c>
      <c r="AE50" s="150" t="s">
        <v>647</v>
      </c>
      <c r="AF50" s="153"/>
      <c r="AG50" s="149"/>
      <c r="AH50" s="151"/>
      <c r="AI50" s="154"/>
      <c r="AJ50" s="154"/>
      <c r="AK50" s="155">
        <f>'Portafolio P&amp;D'!AA8</f>
        <v>0.87</v>
      </c>
      <c r="AL50" s="155">
        <f>'Portafolio P&amp;D'!AB8</f>
        <v>0.84</v>
      </c>
      <c r="AM50" s="278" t="str">
        <f>IF(DemandaEstrateg_[[#This Row],[Tipo de Requerimiento]]="Proyecto",(DemandaEstrateg_[[#This Row],[% Avance ejecutado]]-DemandaEstrateg_[[#This Row],[% Avance Planificado]])/DemandaEstrateg_[[#This Row],[% Avance Planificado]],"No aplica")</f>
        <v>No aplica</v>
      </c>
      <c r="AN50" s="190" t="str">
        <f>IF(DemandaEstrateg_[[#This Row],[Tipo de Requerimiento]]="Proyecto",(DemandaEstrateg_[[#This Row],[% Avance ejecutado]]-DemandaEstrateg_[[#This Row],[% Avance Planificado]])/DemandaEstrateg_[[#This Row],[% Avance Planificado]],"No aplica")</f>
        <v>No aplica</v>
      </c>
      <c r="AO50" s="190"/>
      <c r="AP50" s="290"/>
      <c r="AQ50" s="153"/>
      <c r="AR50" s="153" t="s">
        <v>394</v>
      </c>
      <c r="AS50" s="320" t="s">
        <v>360</v>
      </c>
      <c r="AT50" s="152" t="str">
        <f>VLOOKUP(DemandaEstrateg_[[#This Row],[Estado TI]],Tabla12[],3,FALSE)</f>
        <v>02. En Ejecución</v>
      </c>
      <c r="AU50" s="297" t="s">
        <v>648</v>
      </c>
      <c r="AV50" s="214" t="s">
        <v>175</v>
      </c>
    </row>
    <row r="51" spans="1:48" ht="49.9" customHeight="1">
      <c r="A51" s="55">
        <v>2699</v>
      </c>
      <c r="B51" s="183" t="s">
        <v>649</v>
      </c>
      <c r="C51" s="150">
        <v>2056</v>
      </c>
      <c r="D51" s="182" t="s">
        <v>650</v>
      </c>
      <c r="E51" s="55" t="s">
        <v>364</v>
      </c>
      <c r="F51" s="206" t="s">
        <v>651</v>
      </c>
      <c r="G51" s="58" t="s">
        <v>652</v>
      </c>
      <c r="H51" s="55" t="s">
        <v>113</v>
      </c>
      <c r="I51" s="55" t="s">
        <v>474</v>
      </c>
      <c r="J51" s="55"/>
      <c r="K51" s="76" t="s">
        <v>369</v>
      </c>
      <c r="L51" s="148">
        <v>45721</v>
      </c>
      <c r="M51" s="149" t="s">
        <v>370</v>
      </c>
      <c r="N51" s="150" t="s">
        <v>482</v>
      </c>
      <c r="O51" s="150" t="s">
        <v>438</v>
      </c>
      <c r="P51" s="150" t="s">
        <v>373</v>
      </c>
      <c r="Q51" s="150" t="s">
        <v>381</v>
      </c>
      <c r="R51" s="150" t="s">
        <v>382</v>
      </c>
      <c r="S51" s="150" t="s">
        <v>410</v>
      </c>
      <c r="T51" s="150" t="s">
        <v>410</v>
      </c>
      <c r="U51" s="150">
        <f>'Portafolio P&amp;D'!Q9</f>
        <v>2023</v>
      </c>
      <c r="V51" s="150">
        <f>'Portafolio P&amp;D'!R9</f>
        <v>2025</v>
      </c>
      <c r="W51" s="76">
        <v>45747</v>
      </c>
      <c r="X51" s="109" t="s">
        <v>373</v>
      </c>
      <c r="Y51" s="149" t="s">
        <v>87</v>
      </c>
      <c r="Z51" s="55" t="s">
        <v>439</v>
      </c>
      <c r="AA51" s="149" t="s">
        <v>440</v>
      </c>
      <c r="AB51" s="150" t="s">
        <v>356</v>
      </c>
      <c r="AC51" s="55" t="s">
        <v>477</v>
      </c>
      <c r="AD51" s="163" t="str">
        <f>'Portafolio P&amp;D'!X9</f>
        <v>Angela Risco</v>
      </c>
      <c r="AE51" s="150" t="s">
        <v>442</v>
      </c>
      <c r="AF51" s="153"/>
      <c r="AG51" s="149"/>
      <c r="AH51" s="151">
        <v>45721</v>
      </c>
      <c r="AI51" s="248" t="s">
        <v>394</v>
      </c>
      <c r="AJ51" s="248"/>
      <c r="AK51" s="155" t="s">
        <v>373</v>
      </c>
      <c r="AL51" s="155" t="s">
        <v>373</v>
      </c>
      <c r="AM51" s="278" t="str">
        <f>IF(DemandaEstrateg_[[#This Row],[Tipo de Requerimiento]]="Proyecto",(DemandaEstrateg_[[#This Row],[% Avance ejecutado]]-DemandaEstrateg_[[#This Row],[% Avance Planificado]])/DemandaEstrateg_[[#This Row],[% Avance Planificado]],"No aplica")</f>
        <v>No aplica</v>
      </c>
      <c r="AN51" s="278" t="str">
        <f>IF(DemandaEstrateg_[[#This Row],[Tipo de Requerimiento]]="Proyecto",(DemandaEstrateg_[[#This Row],[% Avance ejecutado]]-DemandaEstrateg_[[#This Row],[% Avance Planificado]])/DemandaEstrateg_[[#This Row],[% Avance Planificado]],"No aplica")</f>
        <v>No aplica</v>
      </c>
      <c r="AO51" s="190"/>
      <c r="AP51" s="190"/>
      <c r="AQ51" s="153" t="s">
        <v>359</v>
      </c>
      <c r="AR51" s="153" t="s">
        <v>375</v>
      </c>
      <c r="AS51" s="159" t="str">
        <f>VLOOKUP(DemandaEstrateg_[[#This Row],[Últ. Estado CQ 14.05]],Tabla36[[Estado CQ]:[Estado TI]],3,FALSE)</f>
        <v>06. Calidad Finalizado</v>
      </c>
      <c r="AT51" s="152" t="str">
        <f>VLOOKUP(DemandaEstrateg_[[#This Row],[Estado TI]],Tabla12[],3,FALSE)</f>
        <v>02. En Ejecución</v>
      </c>
      <c r="AU51" s="231" t="s">
        <v>653</v>
      </c>
      <c r="AV51" s="205" t="s">
        <v>175</v>
      </c>
    </row>
    <row r="52" spans="1:48" ht="49.9" customHeight="1" thickBot="1">
      <c r="A52" s="55">
        <v>2702</v>
      </c>
      <c r="B52" s="183" t="s">
        <v>654</v>
      </c>
      <c r="C52" s="150">
        <v>2056</v>
      </c>
      <c r="D52" s="182" t="s">
        <v>655</v>
      </c>
      <c r="E52" s="55" t="s">
        <v>364</v>
      </c>
      <c r="F52" s="206" t="s">
        <v>656</v>
      </c>
      <c r="G52" s="58" t="s">
        <v>652</v>
      </c>
      <c r="H52" s="55" t="s">
        <v>113</v>
      </c>
      <c r="I52" s="55" t="s">
        <v>474</v>
      </c>
      <c r="J52" s="55"/>
      <c r="K52" s="76" t="s">
        <v>369</v>
      </c>
      <c r="L52" s="148">
        <v>45705</v>
      </c>
      <c r="M52" s="149" t="s">
        <v>370</v>
      </c>
      <c r="N52" s="150" t="s">
        <v>482</v>
      </c>
      <c r="O52" s="150" t="s">
        <v>438</v>
      </c>
      <c r="P52" s="150" t="s">
        <v>373</v>
      </c>
      <c r="Q52" s="150" t="s">
        <v>381</v>
      </c>
      <c r="R52" s="150" t="s">
        <v>382</v>
      </c>
      <c r="S52" s="150" t="s">
        <v>410</v>
      </c>
      <c r="T52" s="150" t="s">
        <v>410</v>
      </c>
      <c r="U52" s="150">
        <f>'Portafolio P&amp;D'!Q9</f>
        <v>2023</v>
      </c>
      <c r="V52" s="150">
        <f>'Portafolio P&amp;D'!R9</f>
        <v>2025</v>
      </c>
      <c r="W52" s="76">
        <v>45747</v>
      </c>
      <c r="X52" s="109" t="s">
        <v>373</v>
      </c>
      <c r="Y52" s="149" t="s">
        <v>87</v>
      </c>
      <c r="Z52" s="55" t="s">
        <v>374</v>
      </c>
      <c r="AA52" s="149" t="s">
        <v>440</v>
      </c>
      <c r="AB52" s="150" t="s">
        <v>356</v>
      </c>
      <c r="AC52" s="55" t="s">
        <v>477</v>
      </c>
      <c r="AD52" s="163" t="str">
        <f>'Portafolio P&amp;D'!X9</f>
        <v>Angela Risco</v>
      </c>
      <c r="AE52" s="150" t="s">
        <v>442</v>
      </c>
      <c r="AF52" s="153"/>
      <c r="AG52" s="149"/>
      <c r="AH52" s="151">
        <v>45705</v>
      </c>
      <c r="AI52" s="247">
        <v>45805</v>
      </c>
      <c r="AJ52" s="247"/>
      <c r="AK52" s="155" t="s">
        <v>373</v>
      </c>
      <c r="AL52" s="155" t="s">
        <v>373</v>
      </c>
      <c r="AM52" s="278" t="str">
        <f>IF(DemandaEstrateg_[[#This Row],[Tipo de Requerimiento]]="Proyecto",(DemandaEstrateg_[[#This Row],[% Avance ejecutado]]-DemandaEstrateg_[[#This Row],[% Avance Planificado]])/DemandaEstrateg_[[#This Row],[% Avance Planificado]],"No aplica")</f>
        <v>No aplica</v>
      </c>
      <c r="AN52" s="278" t="str">
        <f>IF(DemandaEstrateg_[[#This Row],[Tipo de Requerimiento]]="Proyecto",(DemandaEstrateg_[[#This Row],[% Avance ejecutado]]-DemandaEstrateg_[[#This Row],[% Avance Planificado]])/DemandaEstrateg_[[#This Row],[% Avance Planificado]],"No aplica")</f>
        <v>No aplica</v>
      </c>
      <c r="AO52" s="190"/>
      <c r="AP52" s="190"/>
      <c r="AQ52" s="153" t="s">
        <v>448</v>
      </c>
      <c r="AR52" s="153" t="s">
        <v>520</v>
      </c>
      <c r="AS52" s="159" t="str">
        <f>VLOOKUP(DemandaEstrateg_[[#This Row],[Últ. Estado CQ 14.05]],Tabla36[[Estado CQ]:[Estado TI]],3,FALSE)</f>
        <v>10. Descartado</v>
      </c>
      <c r="AT52" s="152" t="str">
        <f>VLOOKUP(DemandaEstrateg_[[#This Row],[Estado TI]],Tabla12[],3,FALSE)</f>
        <v>05. Descartado</v>
      </c>
      <c r="AU52" s="231" t="s">
        <v>653</v>
      </c>
      <c r="AV52" s="205" t="s">
        <v>175</v>
      </c>
    </row>
    <row r="53" spans="1:48" ht="49.9" customHeight="1" thickBot="1">
      <c r="A53" s="55">
        <v>2723</v>
      </c>
      <c r="B53" s="150" t="s">
        <v>657</v>
      </c>
      <c r="C53" s="55">
        <v>2487</v>
      </c>
      <c r="D53" s="150" t="s">
        <v>658</v>
      </c>
      <c r="E53" s="55" t="s">
        <v>364</v>
      </c>
      <c r="F53" s="208" t="s">
        <v>659</v>
      </c>
      <c r="G53" s="58" t="s">
        <v>660</v>
      </c>
      <c r="H53" s="55" t="s">
        <v>367</v>
      </c>
      <c r="I53" s="55" t="s">
        <v>368</v>
      </c>
      <c r="J53" s="55" t="str">
        <f>'Portafolio P&amp;D'!$G$11</f>
        <v>Luis Garcia; 
Liliana Casafranca</v>
      </c>
      <c r="K53" s="76" t="s">
        <v>369</v>
      </c>
      <c r="L53" s="148">
        <v>45624</v>
      </c>
      <c r="M53" s="162" t="s">
        <v>370</v>
      </c>
      <c r="N53" s="150" t="s">
        <v>482</v>
      </c>
      <c r="O53" s="150" t="s">
        <v>438</v>
      </c>
      <c r="P53" s="150" t="s">
        <v>661</v>
      </c>
      <c r="Q53" s="150" t="s">
        <v>662</v>
      </c>
      <c r="R53" s="150" t="s">
        <v>382</v>
      </c>
      <c r="S53" s="150" t="s">
        <v>392</v>
      </c>
      <c r="T53" s="150" t="s">
        <v>372</v>
      </c>
      <c r="U53" s="150">
        <f>'Portafolio P&amp;D'!Q11</f>
        <v>2021</v>
      </c>
      <c r="V53" s="150">
        <f>'Portafolio P&amp;D'!R11</f>
        <v>2025</v>
      </c>
      <c r="W53" s="158">
        <v>45747</v>
      </c>
      <c r="X53" s="109" t="s">
        <v>373</v>
      </c>
      <c r="Y53" s="149" t="s">
        <v>107</v>
      </c>
      <c r="Z53" s="55" t="s">
        <v>374</v>
      </c>
      <c r="AA53" s="162" t="s">
        <v>355</v>
      </c>
      <c r="AB53" s="150" t="s">
        <v>434</v>
      </c>
      <c r="AC53" s="150" t="s">
        <v>357</v>
      </c>
      <c r="AD53" s="150" t="str">
        <f>'Portafolio P&amp;D'!X11</f>
        <v>Jorge Ruiz</v>
      </c>
      <c r="AE53" s="150" t="s">
        <v>624</v>
      </c>
      <c r="AF53" s="153"/>
      <c r="AG53" s="149"/>
      <c r="AH53" s="151">
        <v>45624</v>
      </c>
      <c r="AI53" s="247">
        <v>45727</v>
      </c>
      <c r="AJ53" s="247">
        <v>45727</v>
      </c>
      <c r="AK53" s="155" t="s">
        <v>373</v>
      </c>
      <c r="AL53" s="155" t="s">
        <v>373</v>
      </c>
      <c r="AM53" s="278" t="str">
        <f>IF(DemandaEstrateg_[[#This Row],[Tipo de Requerimiento]]="Proyecto",(DemandaEstrateg_[[#This Row],[% Avance ejecutado]]-DemandaEstrateg_[[#This Row],[% Avance Planificado]])/DemandaEstrateg_[[#This Row],[% Avance Planificado]],"No aplica")</f>
        <v>No aplica</v>
      </c>
      <c r="AN53" s="278" t="str">
        <f>IF(DemandaEstrateg_[[#This Row],[Tipo de Requerimiento]]="Proyecto",(DemandaEstrateg_[[#This Row],[% Avance ejecutado]]-DemandaEstrateg_[[#This Row],[% Avance Planificado]])/DemandaEstrateg_[[#This Row],[% Avance Planificado]],"No aplica")</f>
        <v>No aplica</v>
      </c>
      <c r="AO53" s="190"/>
      <c r="AP53" s="375">
        <v>45717</v>
      </c>
      <c r="AQ53" s="153" t="s">
        <v>611</v>
      </c>
      <c r="AR53" s="150" t="s">
        <v>612</v>
      </c>
      <c r="AS53" s="159" t="str">
        <f>VLOOKUP(DemandaEstrateg_[[#This Row],[Últ. Estado CQ 14.05]],Tabla36[[Estado CQ]:[Estado TI]],3,FALSE)</f>
        <v>08. Producción Finalizada</v>
      </c>
      <c r="AT53" s="152" t="str">
        <f>VLOOKUP(DemandaEstrateg_[[#This Row],[Estado TI]],Tabla12[],3,FALSE)</f>
        <v>03. Implementado</v>
      </c>
      <c r="AU53" s="231" t="s">
        <v>663</v>
      </c>
      <c r="AV53" s="205" t="s">
        <v>175</v>
      </c>
    </row>
    <row r="54" spans="1:48" ht="49.9" customHeight="1" thickBot="1">
      <c r="A54" s="55">
        <v>2728</v>
      </c>
      <c r="B54" s="150" t="s">
        <v>397</v>
      </c>
      <c r="C54" s="150">
        <v>2649</v>
      </c>
      <c r="D54" s="150" t="s">
        <v>397</v>
      </c>
      <c r="E54" s="55" t="s">
        <v>364</v>
      </c>
      <c r="F54" s="58" t="s">
        <v>664</v>
      </c>
      <c r="G54" s="58" t="s">
        <v>665</v>
      </c>
      <c r="H54" s="55" t="s">
        <v>128</v>
      </c>
      <c r="I54" s="55" t="str">
        <f>'Portafolio P&amp;D'!$F$36</f>
        <v>María Luisa Guevara</v>
      </c>
      <c r="J54" s="55" t="str">
        <f>'Portafolio P&amp;D'!$G$36</f>
        <v>Marco Ortiz</v>
      </c>
      <c r="K54" s="148" t="str">
        <f>'Portafolio P&amp;D'!H36</f>
        <v>Rina Roca</v>
      </c>
      <c r="L54" s="148">
        <v>45663</v>
      </c>
      <c r="M54" s="162" t="s">
        <v>631</v>
      </c>
      <c r="N54" s="150" t="s">
        <v>382</v>
      </c>
      <c r="O54" s="150" t="s">
        <v>175</v>
      </c>
      <c r="P54" s="150" t="s">
        <v>373</v>
      </c>
      <c r="Q54" s="150" t="s">
        <v>483</v>
      </c>
      <c r="R54" s="150" t="s">
        <v>382</v>
      </c>
      <c r="S54" s="150" t="s">
        <v>401</v>
      </c>
      <c r="T54" s="150" t="s">
        <v>401</v>
      </c>
      <c r="U54" s="150">
        <f>'Portafolio P&amp;D'!Q36</f>
        <v>2024</v>
      </c>
      <c r="V54" s="150">
        <f>'Portafolio P&amp;D'!R36</f>
        <v>2026</v>
      </c>
      <c r="W54" s="76">
        <v>45777</v>
      </c>
      <c r="X54" s="109" t="s">
        <v>373</v>
      </c>
      <c r="Y54" s="150" t="s">
        <v>263</v>
      </c>
      <c r="Z54" s="55" t="s">
        <v>634</v>
      </c>
      <c r="AA54" s="162" t="s">
        <v>635</v>
      </c>
      <c r="AB54" s="150" t="s">
        <v>356</v>
      </c>
      <c r="AC54" s="150" t="str">
        <f>$AC$49</f>
        <v>Novatronic</v>
      </c>
      <c r="AD54" s="150" t="str">
        <f>$AD$49</f>
        <v>Eduardo Cardenas / Elia Muñoz</v>
      </c>
      <c r="AE54" s="150" t="str">
        <f>$AE$49</f>
        <v>Ricardo Cuba; Emerson Queccara; Mario Carbajo; Norma Fukunaga</v>
      </c>
      <c r="AF54" s="153"/>
      <c r="AG54" s="149"/>
      <c r="AH54" s="172" t="s">
        <v>394</v>
      </c>
      <c r="AI54" s="247">
        <v>46037</v>
      </c>
      <c r="AJ54" s="247"/>
      <c r="AK54" s="155" t="s">
        <v>373</v>
      </c>
      <c r="AL54" s="155" t="s">
        <v>373</v>
      </c>
      <c r="AM54" s="278" t="str">
        <f>IF(DemandaEstrateg_[[#This Row],[Tipo de Requerimiento]]="Proyecto",(DemandaEstrateg_[[#This Row],[% Avance ejecutado]]-DemandaEstrateg_[[#This Row],[% Avance Planificado]])/DemandaEstrateg_[[#This Row],[% Avance Planificado]],"No aplica")</f>
        <v>No aplica</v>
      </c>
      <c r="AN54" s="278" t="str">
        <f>IF(DemandaEstrateg_[[#This Row],[Tipo de Requerimiento]]="Proyecto",(DemandaEstrateg_[[#This Row],[% Avance ejecutado]]-DemandaEstrateg_[[#This Row],[% Avance Planificado]])/DemandaEstrateg_[[#This Row],[% Avance Planificado]],"No aplica")</f>
        <v>No aplica</v>
      </c>
      <c r="AO54" s="190"/>
      <c r="AP54" s="447">
        <v>46248</v>
      </c>
      <c r="AQ54" s="153" t="s">
        <v>639</v>
      </c>
      <c r="AR54" s="153" t="s">
        <v>394</v>
      </c>
      <c r="AS54" s="159" t="s">
        <v>666</v>
      </c>
      <c r="AT54" s="152" t="str">
        <f>VLOOKUP(DemandaEstrateg_[[#This Row],[Estado TI]],Tabla12[],3,FALSE)</f>
        <v>01. No Iniciado</v>
      </c>
      <c r="AU54" s="231" t="s">
        <v>667</v>
      </c>
      <c r="AV54" s="205" t="s">
        <v>175</v>
      </c>
    </row>
    <row r="55" spans="1:48" ht="49.9" customHeight="1" thickBot="1">
      <c r="A55" s="55">
        <v>2754</v>
      </c>
      <c r="B55" s="150" t="s">
        <v>175</v>
      </c>
      <c r="C55" s="150" t="s">
        <v>175</v>
      </c>
      <c r="D55" s="150" t="s">
        <v>175</v>
      </c>
      <c r="E55" s="55" t="s">
        <v>347</v>
      </c>
      <c r="F55" s="206" t="str">
        <f>'Portafolio P&amp;D'!C40</f>
        <v>Banca Empresarial - Fase IV</v>
      </c>
      <c r="G55" s="58" t="str">
        <f>'Portafolio P&amp;D'!D40</f>
        <v>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v>
      </c>
      <c r="H55" s="55" t="str">
        <f>'Portafolio P&amp;D'!E40</f>
        <v>Operaciones</v>
      </c>
      <c r="I55" s="55" t="str">
        <f>'Portafolio P&amp;D'!F40</f>
        <v>María Luisa Guevara</v>
      </c>
      <c r="J55" s="55" t="str">
        <f>'Portafolio P&amp;D'!G40</f>
        <v>Marco Ortiz</v>
      </c>
      <c r="K55" s="150" t="str">
        <f>'Portafolio P&amp;D'!H40</f>
        <v>Rina Roca</v>
      </c>
      <c r="L55" s="148">
        <v>45758</v>
      </c>
      <c r="M55" s="162"/>
      <c r="N55" s="150" t="s">
        <v>382</v>
      </c>
      <c r="O55" s="150" t="s">
        <v>175</v>
      </c>
      <c r="P55" s="150" t="s">
        <v>668</v>
      </c>
      <c r="Q55" s="150" t="s">
        <v>381</v>
      </c>
      <c r="R55" s="150" t="s">
        <v>382</v>
      </c>
      <c r="S55" s="150" t="s">
        <v>410</v>
      </c>
      <c r="T55" s="150" t="s">
        <v>410</v>
      </c>
      <c r="U55" s="150">
        <f>'Portafolio P&amp;D'!Q40</f>
        <v>2025</v>
      </c>
      <c r="V55" s="150">
        <f>'Portafolio P&amp;D'!R40</f>
        <v>2025</v>
      </c>
      <c r="W55" s="76">
        <f>'Portafolio P&amp;D'!M40</f>
        <v>45735</v>
      </c>
      <c r="X55" s="277">
        <f>'Portafolio P&amp;D'!I40</f>
        <v>0</v>
      </c>
      <c r="Y55" s="150" t="s">
        <v>289</v>
      </c>
      <c r="Z55" s="55" t="s">
        <v>525</v>
      </c>
      <c r="AA55" s="162" t="s">
        <v>669</v>
      </c>
      <c r="AB55" s="150" t="s">
        <v>356</v>
      </c>
      <c r="AC55" s="150" t="s">
        <v>628</v>
      </c>
      <c r="AD55" s="150" t="str">
        <f>'Portafolio P&amp;D'!X40</f>
        <v>Eduardo Cardenas</v>
      </c>
      <c r="AE55" s="150" t="s">
        <v>132</v>
      </c>
      <c r="AF55" s="153"/>
      <c r="AG55" s="149"/>
      <c r="AH55" s="151">
        <f>'Portafolio P&amp;D'!Y40</f>
        <v>45689</v>
      </c>
      <c r="AI55" s="154">
        <f>'Portafolio P&amp;D'!Z40</f>
        <v>45992</v>
      </c>
      <c r="AJ55" s="154"/>
      <c r="AK55" s="155">
        <f>'Portafolio P&amp;D'!AA40</f>
        <v>0.57999999999999996</v>
      </c>
      <c r="AL55" s="155">
        <f>'Portafolio P&amp;D'!AB40</f>
        <v>0.45</v>
      </c>
      <c r="AM55" s="278">
        <f>IF(DemandaEstrateg_[[#This Row],[Tipo de Requerimiento]]="Proyecto",(DemandaEstrateg_[[#This Row],[% Avance ejecutado]]-DemandaEstrateg_[[#This Row],[% Avance Planificado]])/DemandaEstrateg_[[#This Row],[% Avance Planificado]],"No aplica")</f>
        <v>-0.22413793103448268</v>
      </c>
      <c r="AN55" s="190">
        <f>IF(DemandaEstrateg_[[#This Row],[Tipo de Requerimiento]]="Proyecto",(DemandaEstrateg_[[#This Row],[% Avance ejecutado]]-DemandaEstrateg_[[#This Row],[% Avance Planificado]])/DemandaEstrateg_[[#This Row],[% Avance Planificado]],"No aplica")</f>
        <v>-0.22413793103448268</v>
      </c>
      <c r="AO55" s="190"/>
      <c r="AP55" s="290">
        <v>45901</v>
      </c>
      <c r="AQ55" s="153" t="s">
        <v>670</v>
      </c>
      <c r="AR55" s="153" t="s">
        <v>394</v>
      </c>
      <c r="AS55" s="320" t="s">
        <v>449</v>
      </c>
      <c r="AT55" s="152" t="str">
        <f>VLOOKUP(DemandaEstrateg_[[#This Row],[Estado TI]],Tabla12[],3,FALSE)</f>
        <v>04. Finalizado</v>
      </c>
      <c r="AU55" s="297" t="s">
        <v>671</v>
      </c>
      <c r="AV55" s="214" t="str">
        <f>'Portafolio P&amp;D'!B40</f>
        <v>PROBEFC-EO06-25-40</v>
      </c>
    </row>
    <row r="56" spans="1:48" ht="49.9" customHeight="1">
      <c r="A56" s="55">
        <v>2779</v>
      </c>
      <c r="B56" s="150" t="s">
        <v>672</v>
      </c>
      <c r="C56" s="150">
        <v>2056</v>
      </c>
      <c r="D56" s="150" t="s">
        <v>673</v>
      </c>
      <c r="E56" s="55" t="s">
        <v>364</v>
      </c>
      <c r="F56" s="206" t="s">
        <v>674</v>
      </c>
      <c r="G56" s="58" t="s">
        <v>675</v>
      </c>
      <c r="H56" s="55" t="s">
        <v>128</v>
      </c>
      <c r="I56" s="55" t="s">
        <v>474</v>
      </c>
      <c r="J56" s="55"/>
      <c r="K56" s="76" t="s">
        <v>369</v>
      </c>
      <c r="L56" s="148">
        <v>45749</v>
      </c>
      <c r="M56" s="149" t="s">
        <v>370</v>
      </c>
      <c r="N56" s="150" t="s">
        <v>382</v>
      </c>
      <c r="O56" s="150" t="s">
        <v>438</v>
      </c>
      <c r="P56" s="150" t="s">
        <v>373</v>
      </c>
      <c r="Q56" s="150" t="s">
        <v>381</v>
      </c>
      <c r="R56" s="150" t="s">
        <v>382</v>
      </c>
      <c r="S56" s="150" t="s">
        <v>410</v>
      </c>
      <c r="T56" s="150" t="s">
        <v>410</v>
      </c>
      <c r="U56" s="150">
        <f>'Portafolio P&amp;D'!Q9</f>
        <v>2023</v>
      </c>
      <c r="V56" s="150">
        <f>'Portafolio P&amp;D'!R9</f>
        <v>2025</v>
      </c>
      <c r="W56" s="76">
        <v>45777</v>
      </c>
      <c r="X56" s="109" t="s">
        <v>373</v>
      </c>
      <c r="Y56" s="149" t="s">
        <v>87</v>
      </c>
      <c r="Z56" s="55" t="s">
        <v>439</v>
      </c>
      <c r="AA56" s="149" t="s">
        <v>440</v>
      </c>
      <c r="AB56" s="150" t="s">
        <v>356</v>
      </c>
      <c r="AC56" s="55" t="s">
        <v>477</v>
      </c>
      <c r="AD56" s="163" t="str">
        <f>'Portafolio P&amp;D'!X9</f>
        <v>Angela Risco</v>
      </c>
      <c r="AE56" s="150" t="s">
        <v>442</v>
      </c>
      <c r="AF56" s="153"/>
      <c r="AG56" s="149"/>
      <c r="AH56" s="151">
        <v>45749</v>
      </c>
      <c r="AI56" s="248" t="s">
        <v>394</v>
      </c>
      <c r="AJ56" s="248"/>
      <c r="AK56" s="155" t="s">
        <v>373</v>
      </c>
      <c r="AL56" s="155" t="s">
        <v>373</v>
      </c>
      <c r="AM56" s="278" t="str">
        <f>IF(DemandaEstrateg_[[#This Row],[Tipo de Requerimiento]]="Proyecto",(DemandaEstrateg_[[#This Row],[% Avance ejecutado]]-DemandaEstrateg_[[#This Row],[% Avance Planificado]])/DemandaEstrateg_[[#This Row],[% Avance Planificado]],"No aplica")</f>
        <v>No aplica</v>
      </c>
      <c r="AN56" s="278" t="str">
        <f>IF(DemandaEstrateg_[[#This Row],[Tipo de Requerimiento]]="Proyecto",(DemandaEstrateg_[[#This Row],[% Avance ejecutado]]-DemandaEstrateg_[[#This Row],[% Avance Planificado]])/DemandaEstrateg_[[#This Row],[% Avance Planificado]],"No aplica")</f>
        <v>No aplica</v>
      </c>
      <c r="AO56" s="190"/>
      <c r="AP56" s="190"/>
      <c r="AQ56" s="153" t="s">
        <v>359</v>
      </c>
      <c r="AR56" s="450" t="s">
        <v>375</v>
      </c>
      <c r="AS56" s="159" t="str">
        <f>VLOOKUP(DemandaEstrateg_[[#This Row],[Últ. Estado CQ 14.05]],Tabla36[[Estado CQ]:[Estado TI]],3,FALSE)</f>
        <v>06. Calidad Finalizado</v>
      </c>
      <c r="AT56" s="152" t="str">
        <f>VLOOKUP(DemandaEstrateg_[[#This Row],[Estado TI]],Tabla12[],3,FALSE)</f>
        <v>02. En Ejecución</v>
      </c>
      <c r="AU56" s="231" t="s">
        <v>676</v>
      </c>
      <c r="AV56" s="205" t="s">
        <v>175</v>
      </c>
    </row>
    <row r="57" spans="1:48" ht="49.9" customHeight="1" thickBot="1">
      <c r="A57" s="55">
        <v>2790</v>
      </c>
      <c r="B57" s="150" t="s">
        <v>677</v>
      </c>
      <c r="C57" s="150">
        <v>2649</v>
      </c>
      <c r="D57" s="150" t="s">
        <v>678</v>
      </c>
      <c r="E57" s="55" t="s">
        <v>364</v>
      </c>
      <c r="F57" s="58" t="s">
        <v>679</v>
      </c>
      <c r="G57" s="58" t="s">
        <v>680</v>
      </c>
      <c r="H57" s="55" t="s">
        <v>128</v>
      </c>
      <c r="I57" s="55" t="str">
        <f>'Portafolio P&amp;D'!$F$36</f>
        <v>María Luisa Guevara</v>
      </c>
      <c r="J57" s="55" t="str">
        <f>'Portafolio P&amp;D'!$G$36</f>
        <v>Marco Ortiz</v>
      </c>
      <c r="K57" s="148" t="str">
        <f>'Portafolio P&amp;D'!H36</f>
        <v>Rina Roca</v>
      </c>
      <c r="L57" s="148">
        <v>45663</v>
      </c>
      <c r="M57" s="162" t="s">
        <v>631</v>
      </c>
      <c r="N57" s="163" t="s">
        <v>632</v>
      </c>
      <c r="O57" s="163" t="s">
        <v>633</v>
      </c>
      <c r="P57" s="163" t="s">
        <v>373</v>
      </c>
      <c r="Q57" s="150" t="s">
        <v>483</v>
      </c>
      <c r="R57" s="150" t="s">
        <v>382</v>
      </c>
      <c r="S57" s="150" t="s">
        <v>410</v>
      </c>
      <c r="T57" s="150" t="s">
        <v>410</v>
      </c>
      <c r="U57" s="150">
        <f>'Portafolio P&amp;D'!Q36</f>
        <v>2024</v>
      </c>
      <c r="V57" s="150">
        <f>'Portafolio P&amp;D'!R36</f>
        <v>2026</v>
      </c>
      <c r="W57" s="158">
        <v>45806</v>
      </c>
      <c r="X57" s="109" t="s">
        <v>373</v>
      </c>
      <c r="Y57" s="150" t="s">
        <v>263</v>
      </c>
      <c r="Z57" s="55" t="s">
        <v>634</v>
      </c>
      <c r="AA57" s="162" t="s">
        <v>635</v>
      </c>
      <c r="AB57" s="150" t="s">
        <v>356</v>
      </c>
      <c r="AC57" s="150" t="str">
        <f>$AC$49</f>
        <v>Novatronic</v>
      </c>
      <c r="AD57" s="150" t="str">
        <f>$AD$49</f>
        <v>Eduardo Cardenas / Elia Muñoz</v>
      </c>
      <c r="AE57" s="150" t="str">
        <f>$AE$49</f>
        <v>Ricardo Cuba; Emerson Queccara; Mario Carbajo; Norma Fukunaga</v>
      </c>
      <c r="AF57" s="153"/>
      <c r="AG57" s="149"/>
      <c r="AH57" s="151">
        <v>45785</v>
      </c>
      <c r="AI57" s="247">
        <v>45884</v>
      </c>
      <c r="AJ57" s="247"/>
      <c r="AK57" s="155" t="s">
        <v>373</v>
      </c>
      <c r="AL57" s="155" t="s">
        <v>373</v>
      </c>
      <c r="AM57" s="278" t="str">
        <f>IF(DemandaEstrateg_[[#This Row],[Tipo de Requerimiento]]="Proyecto",(DemandaEstrateg_[[#This Row],[% Avance ejecutado]]-DemandaEstrateg_[[#This Row],[% Avance Planificado]])/DemandaEstrateg_[[#This Row],[% Avance Planificado]],"No aplica")</f>
        <v>No aplica</v>
      </c>
      <c r="AN57" s="278" t="str">
        <f>IF(DemandaEstrateg_[[#This Row],[Tipo de Requerimiento]]="Proyecto",(DemandaEstrateg_[[#This Row],[% Avance ejecutado]]-DemandaEstrateg_[[#This Row],[% Avance Planificado]])/DemandaEstrateg_[[#This Row],[% Avance Planificado]],"No aplica")</f>
        <v>No aplica</v>
      </c>
      <c r="AO57" s="190"/>
      <c r="AP57" s="316"/>
      <c r="AQ57" s="153" t="s">
        <v>359</v>
      </c>
      <c r="AR57" s="153" t="s">
        <v>386</v>
      </c>
      <c r="AS57" s="159" t="str">
        <f>VLOOKUP(DemandaEstrateg_[[#This Row],[Últ. Estado CQ 14.05]],Tabla36[[Estado CQ]:[Estado TI]],3,FALSE)</f>
        <v>03. En Desarrollo</v>
      </c>
      <c r="AT57" s="152" t="str">
        <f>VLOOKUP(DemandaEstrateg_[[#This Row],[Estado TI]],Tabla12[],3,FALSE)</f>
        <v>02. En Ejecución</v>
      </c>
      <c r="AU57" s="231" t="s">
        <v>681</v>
      </c>
      <c r="AV57" s="205" t="s">
        <v>175</v>
      </c>
    </row>
    <row r="58" spans="1:48" ht="49.9" customHeight="1" thickBot="1">
      <c r="A58" s="55">
        <v>2804</v>
      </c>
      <c r="B58" s="150" t="s">
        <v>682</v>
      </c>
      <c r="C58" s="150">
        <v>2649</v>
      </c>
      <c r="D58" s="150" t="s">
        <v>683</v>
      </c>
      <c r="E58" s="55" t="s">
        <v>364</v>
      </c>
      <c r="F58" s="58" t="s">
        <v>684</v>
      </c>
      <c r="G58" s="58" t="s">
        <v>679</v>
      </c>
      <c r="H58" s="55" t="s">
        <v>128</v>
      </c>
      <c r="I58" s="55" t="str">
        <f>'Portafolio P&amp;D'!$F$36</f>
        <v>María Luisa Guevara</v>
      </c>
      <c r="J58" s="55" t="str">
        <f>'Portafolio P&amp;D'!$G$36</f>
        <v>Marco Ortiz</v>
      </c>
      <c r="K58" s="148" t="str">
        <f>'Portafolio P&amp;D'!H36</f>
        <v>Rina Roca</v>
      </c>
      <c r="L58" s="148">
        <v>45663</v>
      </c>
      <c r="M58" s="162" t="s">
        <v>631</v>
      </c>
      <c r="N58" s="150" t="s">
        <v>382</v>
      </c>
      <c r="O58" s="150" t="s">
        <v>633</v>
      </c>
      <c r="P58" s="150" t="s">
        <v>373</v>
      </c>
      <c r="Q58" s="150" t="s">
        <v>483</v>
      </c>
      <c r="R58" s="150" t="s">
        <v>382</v>
      </c>
      <c r="S58" s="150" t="s">
        <v>410</v>
      </c>
      <c r="T58" s="150" t="s">
        <v>410</v>
      </c>
      <c r="U58" s="150">
        <f>'Portafolio P&amp;D'!Q36</f>
        <v>2024</v>
      </c>
      <c r="V58" s="150">
        <f>'Portafolio P&amp;D'!R36</f>
        <v>2026</v>
      </c>
      <c r="W58" s="158">
        <v>45806</v>
      </c>
      <c r="X58" s="109" t="s">
        <v>373</v>
      </c>
      <c r="Y58" s="150" t="s">
        <v>263</v>
      </c>
      <c r="Z58" s="55" t="s">
        <v>634</v>
      </c>
      <c r="AA58" s="162" t="s">
        <v>635</v>
      </c>
      <c r="AB58" s="150" t="s">
        <v>356</v>
      </c>
      <c r="AC58" s="150" t="str">
        <f>$AC$49</f>
        <v>Novatronic</v>
      </c>
      <c r="AD58" s="150" t="str">
        <f>$AD$49</f>
        <v>Eduardo Cardenas / Elia Muñoz</v>
      </c>
      <c r="AE58" s="150" t="str">
        <f>$AE$49</f>
        <v>Ricardo Cuba; Emerson Queccara; Mario Carbajo; Norma Fukunaga</v>
      </c>
      <c r="AF58" s="153"/>
      <c r="AG58" s="149"/>
      <c r="AH58" s="151">
        <v>45797</v>
      </c>
      <c r="AI58" s="247">
        <v>45884</v>
      </c>
      <c r="AJ58" s="247"/>
      <c r="AK58" s="155" t="s">
        <v>373</v>
      </c>
      <c r="AL58" s="155" t="s">
        <v>373</v>
      </c>
      <c r="AM58" s="279" t="str">
        <f>IF(DemandaEstrateg_[[#This Row],[Tipo de Requerimiento]]="Proyecto",(DemandaEstrateg_[[#This Row],[% Avance ejecutado]]-DemandaEstrateg_[[#This Row],[% Avance Planificado]])/DemandaEstrateg_[[#This Row],[% Avance Planificado]],"No aplica")</f>
        <v>No aplica</v>
      </c>
      <c r="AN58" s="279" t="str">
        <f>IF(DemandaEstrateg_[[#This Row],[Tipo de Requerimiento]]="Proyecto",(DemandaEstrateg_[[#This Row],[% Avance ejecutado]]-DemandaEstrateg_[[#This Row],[% Avance Planificado]])/DemandaEstrateg_[[#This Row],[% Avance Planificado]],"No aplica")</f>
        <v>No aplica</v>
      </c>
      <c r="AO58" s="191"/>
      <c r="AP58" s="447">
        <v>46037</v>
      </c>
      <c r="AQ58" s="153" t="s">
        <v>359</v>
      </c>
      <c r="AR58" s="153" t="s">
        <v>386</v>
      </c>
      <c r="AS58" s="159" t="str">
        <f>VLOOKUP(DemandaEstrateg_[[#This Row],[Últ. Estado CQ 14.05]],Tabla36[[Estado CQ]:[Estado TI]],3,FALSE)</f>
        <v>03. En Desarrollo</v>
      </c>
      <c r="AT58" s="152" t="str">
        <f>VLOOKUP(DemandaEstrateg_[[#This Row],[Estado TI]],Tabla12[],3,FALSE)</f>
        <v>02. En Ejecución</v>
      </c>
      <c r="AU58" s="231" t="s">
        <v>685</v>
      </c>
      <c r="AV58" s="205" t="s">
        <v>175</v>
      </c>
    </row>
    <row r="59" spans="1:48" ht="49.9" customHeight="1">
      <c r="A59" s="55">
        <v>2811</v>
      </c>
      <c r="B59" s="150" t="s">
        <v>554</v>
      </c>
      <c r="C59" s="150" t="s">
        <v>175</v>
      </c>
      <c r="D59" s="150" t="s">
        <v>554</v>
      </c>
      <c r="E59" s="55" t="s">
        <v>347</v>
      </c>
      <c r="F59" s="58" t="str">
        <f>'Portafolio P&amp;D'!C35</f>
        <v>Plataforma Banca Móvil y Banca por Internet</v>
      </c>
      <c r="G59" s="58" t="str">
        <f>'Portafolio P&amp;D'!D35</f>
        <v>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v>
      </c>
      <c r="H59" s="55" t="str">
        <f>'Portafolio P&amp;D'!E35</f>
        <v>Banca Digital</v>
      </c>
      <c r="I59" s="55" t="str">
        <f>'Portafolio P&amp;D'!F35</f>
        <v>Alexis Junchaya</v>
      </c>
      <c r="J59" s="55" t="str">
        <f>'Portafolio P&amp;D'!G35</f>
        <v>Alexis Junchaya</v>
      </c>
      <c r="K59" s="150" t="str">
        <f>'Portafolio P&amp;D'!H35</f>
        <v>Ennio Palomino</v>
      </c>
      <c r="L59" s="148">
        <v>45799</v>
      </c>
      <c r="M59" s="162" t="s">
        <v>686</v>
      </c>
      <c r="N59" s="150" t="s">
        <v>626</v>
      </c>
      <c r="O59" s="150" t="s">
        <v>175</v>
      </c>
      <c r="P59" s="150" t="s">
        <v>373</v>
      </c>
      <c r="Q59" s="150" t="s">
        <v>97</v>
      </c>
      <c r="R59" s="181"/>
      <c r="S59" s="150" t="s">
        <v>401</v>
      </c>
      <c r="T59" s="150" t="s">
        <v>401</v>
      </c>
      <c r="U59" s="150">
        <f>'Portafolio P&amp;D'!Q35</f>
        <v>2023</v>
      </c>
      <c r="V59" s="150">
        <f>'Portafolio P&amp;D'!R35</f>
        <v>2026</v>
      </c>
      <c r="W59" s="158">
        <f>'Portafolio P&amp;D'!M35</f>
        <v>45418</v>
      </c>
      <c r="X59" s="277">
        <f>'Portafolio P&amp;D'!I35</f>
        <v>29429839</v>
      </c>
      <c r="Y59" s="150" t="s">
        <v>255</v>
      </c>
      <c r="Z59" s="55" t="s">
        <v>152</v>
      </c>
      <c r="AA59" s="171" t="s">
        <v>394</v>
      </c>
      <c r="AB59" s="150" t="s">
        <v>420</v>
      </c>
      <c r="AC59" s="150" t="s">
        <v>687</v>
      </c>
      <c r="AD59" s="150" t="str">
        <f>'Portafolio P&amp;D'!X35</f>
        <v>Anyelina Cortez / Stephanic Urtecho</v>
      </c>
      <c r="AE59" s="181"/>
      <c r="AF59" s="153"/>
      <c r="AG59" s="149"/>
      <c r="AH59" s="151">
        <v>45297</v>
      </c>
      <c r="AI59" s="154">
        <v>46534</v>
      </c>
      <c r="AJ59" s="154"/>
      <c r="AK59" s="155">
        <v>0.48</v>
      </c>
      <c r="AL59" s="155">
        <v>0.23</v>
      </c>
      <c r="AM59" s="279">
        <f>IF(DemandaEstrateg_[[#This Row],[Tipo de Requerimiento]]="Proyecto",(DemandaEstrateg_[[#This Row],[% Avance ejecutado]]-DemandaEstrateg_[[#This Row],[% Avance Planificado]])/DemandaEstrateg_[[#This Row],[% Avance Planificado]],"No aplica")</f>
        <v>-0.52083333333333326</v>
      </c>
      <c r="AN59" s="289">
        <f>IF(DemandaEstrateg_[[#This Row],[Tipo de Requerimiento]]="Proyecto",(DemandaEstrateg_[[#This Row],[% Avance ejecutado]]-DemandaEstrateg_[[#This Row],[% Avance Planificado]])/DemandaEstrateg_[[#This Row],[% Avance Planificado]],"No aplica")</f>
        <v>-0.52083333333333326</v>
      </c>
      <c r="AO59" s="191"/>
      <c r="AP59" s="290">
        <v>46534</v>
      </c>
      <c r="AQ59" s="153" t="s">
        <v>688</v>
      </c>
      <c r="AR59" s="153" t="s">
        <v>394</v>
      </c>
      <c r="AS59" s="320" t="s">
        <v>360</v>
      </c>
      <c r="AT59" s="152" t="str">
        <f>VLOOKUP(DemandaEstrateg_[[#This Row],[Estado TI]],Tabla12[],3,FALSE)</f>
        <v>02. En Ejecución</v>
      </c>
      <c r="AU59" s="297" t="s">
        <v>689</v>
      </c>
      <c r="AV59" s="214" t="str">
        <f>'Portafolio P&amp;D'!B35</f>
        <v>PROPBMBI-EO10-24-36</v>
      </c>
    </row>
    <row r="60" spans="1:48" ht="49.9" customHeight="1" thickBot="1">
      <c r="A60" s="55">
        <v>2859</v>
      </c>
      <c r="B60" s="183" t="s">
        <v>690</v>
      </c>
      <c r="C60" s="150">
        <v>2487</v>
      </c>
      <c r="D60" s="150" t="s">
        <v>691</v>
      </c>
      <c r="E60" s="55" t="s">
        <v>364</v>
      </c>
      <c r="F60" s="58" t="s">
        <v>692</v>
      </c>
      <c r="G60" s="58" t="s">
        <v>693</v>
      </c>
      <c r="H60" s="55" t="s">
        <v>113</v>
      </c>
      <c r="I60" s="55" t="s">
        <v>694</v>
      </c>
      <c r="J60" s="55" t="str">
        <f>'Portafolio P&amp;D'!$G$11</f>
        <v>Luis Garcia; 
Liliana Casafranca</v>
      </c>
      <c r="K60" s="76" t="s">
        <v>369</v>
      </c>
      <c r="L60" s="149">
        <v>45820</v>
      </c>
      <c r="M60" s="162" t="s">
        <v>370</v>
      </c>
      <c r="N60" s="150" t="s">
        <v>382</v>
      </c>
      <c r="O60" s="150" t="s">
        <v>175</v>
      </c>
      <c r="P60" s="150" t="s">
        <v>373</v>
      </c>
      <c r="Q60" s="150" t="s">
        <v>381</v>
      </c>
      <c r="R60" s="150" t="s">
        <v>382</v>
      </c>
      <c r="S60" s="150" t="s">
        <v>410</v>
      </c>
      <c r="T60" s="150" t="s">
        <v>410</v>
      </c>
      <c r="U60" s="150">
        <f>'Portafolio P&amp;D'!Q11</f>
        <v>2021</v>
      </c>
      <c r="V60" s="150">
        <f>'Portafolio P&amp;D'!R11</f>
        <v>2025</v>
      </c>
      <c r="W60" s="76">
        <v>45835</v>
      </c>
      <c r="X60" s="109" t="s">
        <v>373</v>
      </c>
      <c r="Y60" s="150" t="s">
        <v>107</v>
      </c>
      <c r="Z60" s="55" t="s">
        <v>374</v>
      </c>
      <c r="AA60" s="162" t="s">
        <v>355</v>
      </c>
      <c r="AB60" s="150" t="s">
        <v>434</v>
      </c>
      <c r="AC60" s="150" t="s">
        <v>357</v>
      </c>
      <c r="AD60" s="150" t="str">
        <f>'Portafolio P&amp;D'!X11</f>
        <v>Jorge Ruiz</v>
      </c>
      <c r="AE60" s="150" t="s">
        <v>435</v>
      </c>
      <c r="AF60" s="153"/>
      <c r="AG60" s="149"/>
      <c r="AH60" s="151">
        <v>45820</v>
      </c>
      <c r="AI60" s="248" t="s">
        <v>394</v>
      </c>
      <c r="AJ60" s="248">
        <v>46037</v>
      </c>
      <c r="AK60" s="155" t="s">
        <v>373</v>
      </c>
      <c r="AL60" s="155" t="s">
        <v>373</v>
      </c>
      <c r="AM60" s="279" t="str">
        <f>IF(DemandaEstrateg_[[#This Row],[Tipo de Requerimiento]]="Proyecto",(DemandaEstrateg_[[#This Row],[% Avance ejecutado]]-DemandaEstrateg_[[#This Row],[% Avance Planificado]])/DemandaEstrateg_[[#This Row],[% Avance Planificado]],"No aplica")</f>
        <v>No aplica</v>
      </c>
      <c r="AN60" s="279" t="str">
        <f>IF(DemandaEstrateg_[[#This Row],[Tipo de Requerimiento]]="Proyecto",(DemandaEstrateg_[[#This Row],[% Avance ejecutado]]-DemandaEstrateg_[[#This Row],[% Avance Planificado]])/DemandaEstrateg_[[#This Row],[% Avance Planificado]],"No aplica")</f>
        <v>No aplica</v>
      </c>
      <c r="AO60" s="191"/>
      <c r="AP60" s="374">
        <v>46023</v>
      </c>
      <c r="AQ60" s="191" t="s">
        <v>359</v>
      </c>
      <c r="AR60" s="181" t="s">
        <v>695</v>
      </c>
      <c r="AS60" s="159" t="str">
        <f>VLOOKUP(DemandaEstrateg_[[#This Row],[Últ. Estado CQ 14.05]],Tabla36[[Estado CQ]:[Estado TI]],3,FALSE)</f>
        <v>08. Producción Finalizada</v>
      </c>
      <c r="AT60" s="152" t="str">
        <f>VLOOKUP(DemandaEstrateg_[[#This Row],[Estado TI]],Tabla12[],3,FALSE)</f>
        <v>03. Implementado</v>
      </c>
      <c r="AU60" s="231" t="s">
        <v>696</v>
      </c>
      <c r="AV60" s="205" t="s">
        <v>175</v>
      </c>
    </row>
    <row r="61" spans="1:48" ht="49.9" customHeight="1" thickBot="1">
      <c r="A61" s="55">
        <v>2864</v>
      </c>
      <c r="B61" s="150" t="s">
        <v>175</v>
      </c>
      <c r="C61" s="150" t="s">
        <v>175</v>
      </c>
      <c r="D61" s="150" t="s">
        <v>175</v>
      </c>
      <c r="E61" s="55" t="s">
        <v>347</v>
      </c>
      <c r="F61" s="58" t="str">
        <f>'Portafolio P&amp;D'!C38</f>
        <v>Adquisición del Sistema de Almacenamiento y Eq. Brocade (High-End Hitachi)</v>
      </c>
      <c r="G61" s="58" t="str">
        <f>'Portafolio P&amp;D'!D38</f>
        <v>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v>
      </c>
      <c r="H61" s="55" t="str">
        <f>'Portafolio P&amp;D'!E38</f>
        <v>Tecnologías de Información</v>
      </c>
      <c r="I61" s="55" t="str">
        <f>'Portafolio P&amp;D'!F38</f>
        <v>Alejandro Sifuentes</v>
      </c>
      <c r="J61" s="55" t="str">
        <f>'Portafolio P&amp;D'!G38</f>
        <v>-</v>
      </c>
      <c r="K61" s="182" t="str">
        <f>'Portafolio P&amp;D'!H38</f>
        <v>Noe Figueroa</v>
      </c>
      <c r="L61" s="148">
        <v>45821</v>
      </c>
      <c r="M61" s="162" t="s">
        <v>697</v>
      </c>
      <c r="N61" s="150" t="s">
        <v>482</v>
      </c>
      <c r="O61" s="150" t="s">
        <v>175</v>
      </c>
      <c r="P61" s="150" t="s">
        <v>373</v>
      </c>
      <c r="Q61" s="150" t="s">
        <v>97</v>
      </c>
      <c r="R61" s="150" t="s">
        <v>382</v>
      </c>
      <c r="S61" s="150" t="s">
        <v>410</v>
      </c>
      <c r="T61" s="150" t="s">
        <v>410</v>
      </c>
      <c r="U61" s="150">
        <f>'Portafolio P&amp;D'!Q38</f>
        <v>2023</v>
      </c>
      <c r="V61" s="150">
        <f>'Portafolio P&amp;D'!R38</f>
        <v>2025</v>
      </c>
      <c r="W61" s="76">
        <f>'Portafolio P&amp;D'!M38</f>
        <v>45735</v>
      </c>
      <c r="X61" s="277">
        <f>'Portafolio P&amp;D'!I38</f>
        <v>18108799</v>
      </c>
      <c r="Y61" s="150" t="s">
        <v>277</v>
      </c>
      <c r="Z61" s="55" t="s">
        <v>439</v>
      </c>
      <c r="AA61" s="162" t="s">
        <v>277</v>
      </c>
      <c r="AB61" s="150" t="s">
        <v>490</v>
      </c>
      <c r="AC61" s="150" t="s">
        <v>698</v>
      </c>
      <c r="AD61" s="182" t="str">
        <f>'Portafolio P&amp;D'!X38</f>
        <v>Edward Torres</v>
      </c>
      <c r="AE61" s="182" t="s">
        <v>123</v>
      </c>
      <c r="AF61" s="153"/>
      <c r="AG61" s="149"/>
      <c r="AH61" s="184">
        <f>'Portafolio P&amp;D'!Y38</f>
        <v>45245</v>
      </c>
      <c r="AI61" s="185">
        <f>'Portafolio P&amp;D'!Z38</f>
        <v>45912</v>
      </c>
      <c r="AJ61" s="185"/>
      <c r="AK61" s="186">
        <f>'Portafolio P&amp;D'!AA38</f>
        <v>1</v>
      </c>
      <c r="AL61" s="186">
        <f>'Portafolio P&amp;D'!AB38</f>
        <v>1</v>
      </c>
      <c r="AM61" s="279">
        <f>IF(DemandaEstrateg_[[#This Row],[Tipo de Requerimiento]]="Proyecto",(DemandaEstrateg_[[#This Row],[% Avance ejecutado]]-DemandaEstrateg_[[#This Row],[% Avance Planificado]])/DemandaEstrateg_[[#This Row],[% Avance Planificado]],"No aplica")</f>
        <v>0</v>
      </c>
      <c r="AN61" s="289">
        <f>IF(DemandaEstrateg_[[#This Row],[Tipo de Requerimiento]]="Proyecto",(DemandaEstrateg_[[#This Row],[% Avance ejecutado]]-DemandaEstrateg_[[#This Row],[% Avance Planificado]])/DemandaEstrateg_[[#This Row],[% Avance Planificado]],"No aplica")</f>
        <v>0</v>
      </c>
      <c r="AO61" s="191"/>
      <c r="AP61" s="290">
        <v>45901</v>
      </c>
      <c r="AQ61" s="153" t="s">
        <v>670</v>
      </c>
      <c r="AR61" s="153" t="s">
        <v>394</v>
      </c>
      <c r="AS61" s="320" t="s">
        <v>449</v>
      </c>
      <c r="AT61" s="317" t="str">
        <f>VLOOKUP(DemandaEstrateg_[[#This Row],[Estado TI]],Tabla12[],3,FALSE)</f>
        <v>04. Finalizado</v>
      </c>
      <c r="AU61" s="231" t="s">
        <v>699</v>
      </c>
      <c r="AV61" s="214" t="str">
        <f>'Portafolio P&amp;D'!B38</f>
        <v>PROASAHEH-EO10-25-41</v>
      </c>
    </row>
    <row r="62" spans="1:48" ht="49.9" customHeight="1" thickBot="1">
      <c r="A62" s="55">
        <v>2882</v>
      </c>
      <c r="B62" s="150" t="s">
        <v>700</v>
      </c>
      <c r="C62" s="150">
        <v>2487</v>
      </c>
      <c r="D62" s="150" t="s">
        <v>701</v>
      </c>
      <c r="E62" s="55" t="s">
        <v>364</v>
      </c>
      <c r="F62" s="58" t="s">
        <v>702</v>
      </c>
      <c r="G62" s="187" t="s">
        <v>703</v>
      </c>
      <c r="H62" s="55" t="s">
        <v>113</v>
      </c>
      <c r="I62" s="55" t="s">
        <v>368</v>
      </c>
      <c r="J62" s="55" t="str">
        <f>'Portafolio P&amp;D'!$G$11</f>
        <v>Luis Garcia; 
Liliana Casafranca</v>
      </c>
      <c r="K62" s="76" t="s">
        <v>369</v>
      </c>
      <c r="L62" s="148">
        <v>45824</v>
      </c>
      <c r="M62" s="162" t="s">
        <v>370</v>
      </c>
      <c r="N62" s="150" t="s">
        <v>382</v>
      </c>
      <c r="O62" s="150" t="s">
        <v>704</v>
      </c>
      <c r="P62" s="150" t="s">
        <v>373</v>
      </c>
      <c r="Q62" s="150" t="s">
        <v>461</v>
      </c>
      <c r="R62" s="150" t="s">
        <v>382</v>
      </c>
      <c r="S62" s="150" t="s">
        <v>705</v>
      </c>
      <c r="T62" s="150" t="s">
        <v>410</v>
      </c>
      <c r="U62" s="150">
        <f>'Portafolio P&amp;D'!Q11</f>
        <v>2021</v>
      </c>
      <c r="V62" s="150">
        <f>'Portafolio P&amp;D'!R11</f>
        <v>2025</v>
      </c>
      <c r="W62" s="76">
        <v>45835</v>
      </c>
      <c r="X62" s="109" t="s">
        <v>373</v>
      </c>
      <c r="Y62" s="150" t="s">
        <v>107</v>
      </c>
      <c r="Z62" s="55" t="s">
        <v>374</v>
      </c>
      <c r="AA62" s="162" t="s">
        <v>355</v>
      </c>
      <c r="AB62" s="150" t="s">
        <v>356</v>
      </c>
      <c r="AC62" s="150" t="s">
        <v>357</v>
      </c>
      <c r="AD62" s="150" t="str">
        <f>'Portafolio P&amp;D'!X11</f>
        <v>Jorge Ruiz</v>
      </c>
      <c r="AE62" s="150" t="s">
        <v>435</v>
      </c>
      <c r="AF62" s="153"/>
      <c r="AG62" s="149"/>
      <c r="AH62" s="151">
        <v>45824</v>
      </c>
      <c r="AI62" s="248">
        <v>45989</v>
      </c>
      <c r="AJ62" s="248"/>
      <c r="AK62" s="155" t="s">
        <v>373</v>
      </c>
      <c r="AL62" s="155" t="s">
        <v>373</v>
      </c>
      <c r="AM62" s="279" t="str">
        <f>IF(DemandaEstrateg_[[#This Row],[Tipo de Requerimiento]]="Proyecto",(DemandaEstrateg_[[#This Row],[% Avance ejecutado]]-DemandaEstrateg_[[#This Row],[% Avance Planificado]])/DemandaEstrateg_[[#This Row],[% Avance Planificado]],"No aplica")</f>
        <v>No aplica</v>
      </c>
      <c r="AN62" s="279" t="str">
        <f>IF(DemandaEstrateg_[[#This Row],[Tipo de Requerimiento]]="Proyecto",(DemandaEstrateg_[[#This Row],[% Avance ejecutado]]-DemandaEstrateg_[[#This Row],[% Avance Planificado]])/DemandaEstrateg_[[#This Row],[% Avance Planificado]],"No aplica")</f>
        <v>No aplica</v>
      </c>
      <c r="AO62" s="191"/>
      <c r="AP62" s="374">
        <v>46023</v>
      </c>
      <c r="AQ62" s="191" t="s">
        <v>359</v>
      </c>
      <c r="AR62" s="153" t="s">
        <v>386</v>
      </c>
      <c r="AS62" s="150" t="str">
        <f>VLOOKUP(DemandaEstrateg_[[#This Row],[Últ. Estado CQ 14.05]],Tabla36[[Estado CQ]:[Estado TI]],3,FALSE)</f>
        <v>03. En Desarrollo</v>
      </c>
      <c r="AT62" s="152" t="str">
        <f>VLOOKUP(DemandaEstrateg_[[#This Row],[Estado TI]],Tabla12[],3,FALSE)</f>
        <v>02. En Ejecución</v>
      </c>
      <c r="AU62" s="231" t="s">
        <v>706</v>
      </c>
      <c r="AV62" s="205" t="s">
        <v>175</v>
      </c>
    </row>
    <row r="63" spans="1:48" ht="49.9" customHeight="1" thickBot="1">
      <c r="A63" s="55">
        <v>2883</v>
      </c>
      <c r="B63" s="150" t="s">
        <v>707</v>
      </c>
      <c r="C63" s="150">
        <v>2487</v>
      </c>
      <c r="D63" s="150" t="s">
        <v>708</v>
      </c>
      <c r="E63" s="55" t="s">
        <v>364</v>
      </c>
      <c r="F63" s="58" t="s">
        <v>709</v>
      </c>
      <c r="G63" s="187" t="s">
        <v>710</v>
      </c>
      <c r="H63" s="55" t="s">
        <v>113</v>
      </c>
      <c r="I63" s="55" t="s">
        <v>368</v>
      </c>
      <c r="J63" s="55" t="str">
        <f>'Portafolio P&amp;D'!$G$11</f>
        <v>Luis Garcia; 
Liliana Casafranca</v>
      </c>
      <c r="K63" s="76" t="s">
        <v>369</v>
      </c>
      <c r="L63" s="148">
        <v>45824</v>
      </c>
      <c r="M63" s="162" t="s">
        <v>370</v>
      </c>
      <c r="N63" s="150" t="s">
        <v>382</v>
      </c>
      <c r="O63" s="150" t="s">
        <v>711</v>
      </c>
      <c r="P63" s="150" t="s">
        <v>373</v>
      </c>
      <c r="Q63" s="150" t="s">
        <v>461</v>
      </c>
      <c r="R63" s="150" t="s">
        <v>382</v>
      </c>
      <c r="S63" s="150" t="s">
        <v>705</v>
      </c>
      <c r="T63" s="150" t="s">
        <v>410</v>
      </c>
      <c r="U63" s="150">
        <f>'Portafolio P&amp;D'!Q11</f>
        <v>2021</v>
      </c>
      <c r="V63" s="150">
        <f>'Portafolio P&amp;D'!R11</f>
        <v>2025</v>
      </c>
      <c r="W63" s="76">
        <v>45835</v>
      </c>
      <c r="X63" s="109" t="s">
        <v>373</v>
      </c>
      <c r="Y63" s="150" t="s">
        <v>107</v>
      </c>
      <c r="Z63" s="55" t="s">
        <v>374</v>
      </c>
      <c r="AA63" s="162" t="s">
        <v>355</v>
      </c>
      <c r="AB63" s="150" t="s">
        <v>356</v>
      </c>
      <c r="AC63" s="150" t="s">
        <v>357</v>
      </c>
      <c r="AD63" s="150" t="str">
        <f>'Portafolio P&amp;D'!X11</f>
        <v>Jorge Ruiz</v>
      </c>
      <c r="AE63" s="150" t="s">
        <v>435</v>
      </c>
      <c r="AF63" s="153"/>
      <c r="AG63" s="149"/>
      <c r="AH63" s="151">
        <v>45824</v>
      </c>
      <c r="AI63" s="248">
        <v>45989</v>
      </c>
      <c r="AJ63" s="248"/>
      <c r="AK63" s="155" t="s">
        <v>373</v>
      </c>
      <c r="AL63" s="155" t="s">
        <v>373</v>
      </c>
      <c r="AM63" s="279" t="str">
        <f>IF(DemandaEstrateg_[[#This Row],[Tipo de Requerimiento]]="Proyecto",(DemandaEstrateg_[[#This Row],[% Avance ejecutado]]-DemandaEstrateg_[[#This Row],[% Avance Planificado]])/DemandaEstrateg_[[#This Row],[% Avance Planificado]],"No aplica")</f>
        <v>No aplica</v>
      </c>
      <c r="AN63" s="279" t="str">
        <f>IF(DemandaEstrateg_[[#This Row],[Tipo de Requerimiento]]="Proyecto",(DemandaEstrateg_[[#This Row],[% Avance ejecutado]]-DemandaEstrateg_[[#This Row],[% Avance Planificado]])/DemandaEstrateg_[[#This Row],[% Avance Planificado]],"No aplica")</f>
        <v>No aplica</v>
      </c>
      <c r="AO63" s="191"/>
      <c r="AP63" s="374">
        <v>46023</v>
      </c>
      <c r="AQ63" s="191" t="s">
        <v>359</v>
      </c>
      <c r="AR63" s="153" t="s">
        <v>386</v>
      </c>
      <c r="AS63" s="150" t="str">
        <f>VLOOKUP(DemandaEstrateg_[[#This Row],[Últ. Estado CQ 14.05]],Tabla36[[Estado CQ]:[Estado TI]],3,FALSE)</f>
        <v>03. En Desarrollo</v>
      </c>
      <c r="AT63" s="152" t="str">
        <f>VLOOKUP(DemandaEstrateg_[[#This Row],[Estado TI]],Tabla12[],3,FALSE)</f>
        <v>02. En Ejecución</v>
      </c>
      <c r="AU63" s="231" t="s">
        <v>706</v>
      </c>
      <c r="AV63" s="205" t="s">
        <v>175</v>
      </c>
    </row>
    <row r="64" spans="1:48" ht="49.9" customHeight="1" thickBot="1">
      <c r="A64" s="55">
        <v>2884</v>
      </c>
      <c r="B64" s="150" t="s">
        <v>712</v>
      </c>
      <c r="C64" s="150">
        <v>2487</v>
      </c>
      <c r="D64" s="150" t="s">
        <v>713</v>
      </c>
      <c r="E64" s="55" t="s">
        <v>364</v>
      </c>
      <c r="F64" s="58" t="s">
        <v>714</v>
      </c>
      <c r="G64" s="187" t="s">
        <v>715</v>
      </c>
      <c r="H64" s="55" t="s">
        <v>113</v>
      </c>
      <c r="I64" s="55" t="s">
        <v>368</v>
      </c>
      <c r="J64" s="55" t="str">
        <f>'Portafolio P&amp;D'!$G$11</f>
        <v>Luis Garcia; 
Liliana Casafranca</v>
      </c>
      <c r="K64" s="76" t="s">
        <v>369</v>
      </c>
      <c r="L64" s="148">
        <v>45824</v>
      </c>
      <c r="M64" s="162" t="s">
        <v>370</v>
      </c>
      <c r="N64" s="150" t="s">
        <v>382</v>
      </c>
      <c r="O64" s="150" t="s">
        <v>716</v>
      </c>
      <c r="P64" s="150" t="s">
        <v>373</v>
      </c>
      <c r="Q64" s="150" t="s">
        <v>461</v>
      </c>
      <c r="R64" s="150" t="s">
        <v>382</v>
      </c>
      <c r="S64" s="150" t="s">
        <v>705</v>
      </c>
      <c r="T64" s="150" t="s">
        <v>410</v>
      </c>
      <c r="U64" s="150">
        <f>'Portafolio P&amp;D'!Q11</f>
        <v>2021</v>
      </c>
      <c r="V64" s="150">
        <f>'Portafolio P&amp;D'!R11</f>
        <v>2025</v>
      </c>
      <c r="W64" s="76">
        <v>45835</v>
      </c>
      <c r="X64" s="109" t="s">
        <v>373</v>
      </c>
      <c r="Y64" s="150" t="s">
        <v>107</v>
      </c>
      <c r="Z64" s="55" t="s">
        <v>374</v>
      </c>
      <c r="AA64" s="162" t="s">
        <v>355</v>
      </c>
      <c r="AB64" s="150" t="s">
        <v>356</v>
      </c>
      <c r="AC64" s="150" t="s">
        <v>357</v>
      </c>
      <c r="AD64" s="150" t="str">
        <f>'Portafolio P&amp;D'!X11</f>
        <v>Jorge Ruiz</v>
      </c>
      <c r="AE64" s="150" t="s">
        <v>435</v>
      </c>
      <c r="AF64" s="153"/>
      <c r="AG64" s="149"/>
      <c r="AH64" s="151">
        <v>45824</v>
      </c>
      <c r="AI64" s="248">
        <v>45989</v>
      </c>
      <c r="AJ64" s="248"/>
      <c r="AK64" s="155" t="s">
        <v>373</v>
      </c>
      <c r="AL64" s="155" t="s">
        <v>373</v>
      </c>
      <c r="AM64" s="279" t="str">
        <f>IF(DemandaEstrateg_[[#This Row],[Tipo de Requerimiento]]="Proyecto",(DemandaEstrateg_[[#This Row],[% Avance ejecutado]]-DemandaEstrateg_[[#This Row],[% Avance Planificado]])/DemandaEstrateg_[[#This Row],[% Avance Planificado]],"No aplica")</f>
        <v>No aplica</v>
      </c>
      <c r="AN64" s="279" t="str">
        <f>IF(DemandaEstrateg_[[#This Row],[Tipo de Requerimiento]]="Proyecto",(DemandaEstrateg_[[#This Row],[% Avance ejecutado]]-DemandaEstrateg_[[#This Row],[% Avance Planificado]])/DemandaEstrateg_[[#This Row],[% Avance Planificado]],"No aplica")</f>
        <v>No aplica</v>
      </c>
      <c r="AO64" s="191"/>
      <c r="AP64" s="374">
        <v>46023</v>
      </c>
      <c r="AQ64" s="191" t="s">
        <v>359</v>
      </c>
      <c r="AR64" s="153" t="s">
        <v>386</v>
      </c>
      <c r="AS64" s="150" t="str">
        <f>VLOOKUP(DemandaEstrateg_[[#This Row],[Últ. Estado CQ 14.05]],Tabla36[[Estado CQ]:[Estado TI]],3,FALSE)</f>
        <v>03. En Desarrollo</v>
      </c>
      <c r="AT64" s="152" t="str">
        <f>VLOOKUP(DemandaEstrateg_[[#This Row],[Estado TI]],Tabla12[],3,FALSE)</f>
        <v>02. En Ejecución</v>
      </c>
      <c r="AU64" s="231" t="s">
        <v>706</v>
      </c>
      <c r="AV64" s="205" t="s">
        <v>175</v>
      </c>
    </row>
    <row r="65" spans="1:48" ht="49.9" customHeight="1" thickBot="1">
      <c r="A65" s="55">
        <v>2885</v>
      </c>
      <c r="B65" s="150" t="s">
        <v>717</v>
      </c>
      <c r="C65" s="150">
        <v>2487</v>
      </c>
      <c r="D65" s="150" t="s">
        <v>718</v>
      </c>
      <c r="E65" s="55" t="s">
        <v>364</v>
      </c>
      <c r="F65" s="58" t="s">
        <v>719</v>
      </c>
      <c r="G65" s="187" t="s">
        <v>720</v>
      </c>
      <c r="H65" s="55" t="s">
        <v>113</v>
      </c>
      <c r="I65" s="55" t="s">
        <v>368</v>
      </c>
      <c r="J65" s="55" t="str">
        <f>'Portafolio P&amp;D'!$G$11</f>
        <v>Luis Garcia; 
Liliana Casafranca</v>
      </c>
      <c r="K65" s="76" t="s">
        <v>369</v>
      </c>
      <c r="L65" s="148">
        <v>45824</v>
      </c>
      <c r="M65" s="162" t="s">
        <v>370</v>
      </c>
      <c r="N65" s="150" t="s">
        <v>382</v>
      </c>
      <c r="O65" s="150"/>
      <c r="P65" s="150" t="s">
        <v>373</v>
      </c>
      <c r="Q65" s="150" t="s">
        <v>461</v>
      </c>
      <c r="R65" s="150" t="s">
        <v>382</v>
      </c>
      <c r="S65" s="150" t="s">
        <v>705</v>
      </c>
      <c r="T65" s="150" t="s">
        <v>410</v>
      </c>
      <c r="U65" s="150">
        <f>'Portafolio P&amp;D'!Q11</f>
        <v>2021</v>
      </c>
      <c r="V65" s="150">
        <f>'Portafolio P&amp;D'!R11</f>
        <v>2025</v>
      </c>
      <c r="W65" s="76">
        <v>45835</v>
      </c>
      <c r="X65" s="109" t="s">
        <v>373</v>
      </c>
      <c r="Y65" s="150" t="s">
        <v>107</v>
      </c>
      <c r="Z65" s="55" t="s">
        <v>374</v>
      </c>
      <c r="AA65" s="162" t="s">
        <v>355</v>
      </c>
      <c r="AB65" s="150" t="s">
        <v>356</v>
      </c>
      <c r="AC65" s="150" t="s">
        <v>357</v>
      </c>
      <c r="AD65" s="150" t="str">
        <f>'Portafolio P&amp;D'!X11</f>
        <v>Jorge Ruiz</v>
      </c>
      <c r="AE65" s="150" t="s">
        <v>435</v>
      </c>
      <c r="AF65" s="153"/>
      <c r="AG65" s="149"/>
      <c r="AH65" s="151">
        <v>45824</v>
      </c>
      <c r="AI65" s="248">
        <v>45989</v>
      </c>
      <c r="AJ65" s="248"/>
      <c r="AK65" s="155" t="s">
        <v>373</v>
      </c>
      <c r="AL65" s="155" t="s">
        <v>373</v>
      </c>
      <c r="AM65" s="279" t="str">
        <f>IF(DemandaEstrateg_[[#This Row],[Tipo de Requerimiento]]="Proyecto",(DemandaEstrateg_[[#This Row],[% Avance ejecutado]]-DemandaEstrateg_[[#This Row],[% Avance Planificado]])/DemandaEstrateg_[[#This Row],[% Avance Planificado]],"No aplica")</f>
        <v>No aplica</v>
      </c>
      <c r="AN65" s="279" t="str">
        <f>IF(DemandaEstrateg_[[#This Row],[Tipo de Requerimiento]]="Proyecto",(DemandaEstrateg_[[#This Row],[% Avance ejecutado]]-DemandaEstrateg_[[#This Row],[% Avance Planificado]])/DemandaEstrateg_[[#This Row],[% Avance Planificado]],"No aplica")</f>
        <v>No aplica</v>
      </c>
      <c r="AO65" s="191"/>
      <c r="AP65" s="374">
        <v>46023</v>
      </c>
      <c r="AQ65" s="191" t="s">
        <v>359</v>
      </c>
      <c r="AR65" s="153" t="s">
        <v>721</v>
      </c>
      <c r="AS65" s="150" t="str">
        <f>VLOOKUP(DemandaEstrateg_[[#This Row],[Últ. Estado CQ 14.05]],Tabla36[[Estado CQ]:[Estado TI]],3,FALSE)</f>
        <v>04. Desarrollo Finalizado</v>
      </c>
      <c r="AT65" s="152" t="str">
        <f>VLOOKUP(DemandaEstrateg_[[#This Row],[Estado TI]],Tabla12[],3,FALSE)</f>
        <v>02. En Ejecución</v>
      </c>
      <c r="AU65" s="231" t="s">
        <v>706</v>
      </c>
      <c r="AV65" s="205" t="s">
        <v>175</v>
      </c>
    </row>
    <row r="66" spans="1:48" ht="49.9" customHeight="1" thickBot="1">
      <c r="A66" s="55">
        <v>2886</v>
      </c>
      <c r="B66" s="150" t="s">
        <v>722</v>
      </c>
      <c r="C66" s="150">
        <v>2487</v>
      </c>
      <c r="D66" s="150" t="s">
        <v>723</v>
      </c>
      <c r="E66" s="55" t="s">
        <v>364</v>
      </c>
      <c r="F66" s="58" t="s">
        <v>724</v>
      </c>
      <c r="G66" s="187" t="s">
        <v>725</v>
      </c>
      <c r="H66" s="55" t="s">
        <v>113</v>
      </c>
      <c r="I66" s="55" t="s">
        <v>368</v>
      </c>
      <c r="J66" s="55" t="str">
        <f>'Portafolio P&amp;D'!$G$11</f>
        <v>Luis Garcia; 
Liliana Casafranca</v>
      </c>
      <c r="K66" s="76" t="s">
        <v>369</v>
      </c>
      <c r="L66" s="148">
        <v>45824</v>
      </c>
      <c r="M66" s="162" t="s">
        <v>370</v>
      </c>
      <c r="N66" s="150" t="s">
        <v>382</v>
      </c>
      <c r="O66" s="150" t="s">
        <v>704</v>
      </c>
      <c r="P66" s="150" t="s">
        <v>373</v>
      </c>
      <c r="Q66" s="150" t="s">
        <v>461</v>
      </c>
      <c r="R66" s="150" t="s">
        <v>382</v>
      </c>
      <c r="S66" s="150" t="s">
        <v>705</v>
      </c>
      <c r="T66" s="150" t="s">
        <v>410</v>
      </c>
      <c r="U66" s="150">
        <f>'Portafolio P&amp;D'!Q11</f>
        <v>2021</v>
      </c>
      <c r="V66" s="150">
        <f>'Portafolio P&amp;D'!R11</f>
        <v>2025</v>
      </c>
      <c r="W66" s="76">
        <v>45835</v>
      </c>
      <c r="X66" s="109" t="s">
        <v>373</v>
      </c>
      <c r="Y66" s="150" t="s">
        <v>107</v>
      </c>
      <c r="Z66" s="55" t="s">
        <v>374</v>
      </c>
      <c r="AA66" s="162" t="s">
        <v>355</v>
      </c>
      <c r="AB66" s="150" t="s">
        <v>356</v>
      </c>
      <c r="AC66" s="150" t="s">
        <v>357</v>
      </c>
      <c r="AD66" s="150" t="str">
        <f>'Portafolio P&amp;D'!X11</f>
        <v>Jorge Ruiz</v>
      </c>
      <c r="AE66" s="150" t="s">
        <v>435</v>
      </c>
      <c r="AF66" s="153"/>
      <c r="AG66" s="149"/>
      <c r="AH66" s="151">
        <v>45824</v>
      </c>
      <c r="AI66" s="248">
        <v>45989</v>
      </c>
      <c r="AJ66" s="248"/>
      <c r="AK66" s="155" t="s">
        <v>373</v>
      </c>
      <c r="AL66" s="155" t="s">
        <v>373</v>
      </c>
      <c r="AM66" s="279" t="str">
        <f>IF(DemandaEstrateg_[[#This Row],[Tipo de Requerimiento]]="Proyecto",(DemandaEstrateg_[[#This Row],[% Avance ejecutado]]-DemandaEstrateg_[[#This Row],[% Avance Planificado]])/DemandaEstrateg_[[#This Row],[% Avance Planificado]],"No aplica")</f>
        <v>No aplica</v>
      </c>
      <c r="AN66" s="279" t="str">
        <f>IF(DemandaEstrateg_[[#This Row],[Tipo de Requerimiento]]="Proyecto",(DemandaEstrateg_[[#This Row],[% Avance ejecutado]]-DemandaEstrateg_[[#This Row],[% Avance Planificado]])/DemandaEstrateg_[[#This Row],[% Avance Planificado]],"No aplica")</f>
        <v>No aplica</v>
      </c>
      <c r="AO66" s="191"/>
      <c r="AP66" s="374">
        <v>46023</v>
      </c>
      <c r="AQ66" s="191" t="s">
        <v>359</v>
      </c>
      <c r="AR66" s="153" t="s">
        <v>386</v>
      </c>
      <c r="AS66" s="150" t="str">
        <f>VLOOKUP(DemandaEstrateg_[[#This Row],[Últ. Estado CQ 14.05]],Tabla36[[Estado CQ]:[Estado TI]],3,FALSE)</f>
        <v>03. En Desarrollo</v>
      </c>
      <c r="AT66" s="152" t="str">
        <f>VLOOKUP(DemandaEstrateg_[[#This Row],[Estado TI]],Tabla12[],3,FALSE)</f>
        <v>02. En Ejecución</v>
      </c>
      <c r="AU66" s="231" t="s">
        <v>706</v>
      </c>
      <c r="AV66" s="205" t="s">
        <v>175</v>
      </c>
    </row>
    <row r="67" spans="1:48" ht="49.9" customHeight="1" thickBot="1">
      <c r="A67" s="55">
        <v>2887</v>
      </c>
      <c r="B67" s="150" t="s">
        <v>726</v>
      </c>
      <c r="C67" s="150">
        <v>2487</v>
      </c>
      <c r="D67" s="150" t="s">
        <v>727</v>
      </c>
      <c r="E67" s="55" t="s">
        <v>364</v>
      </c>
      <c r="F67" s="58" t="s">
        <v>728</v>
      </c>
      <c r="G67" s="187" t="s">
        <v>729</v>
      </c>
      <c r="H67" s="55" t="s">
        <v>113</v>
      </c>
      <c r="I67" s="55" t="s">
        <v>368</v>
      </c>
      <c r="J67" s="55" t="str">
        <f>'Portafolio P&amp;D'!$G$11</f>
        <v>Luis Garcia; 
Liliana Casafranca</v>
      </c>
      <c r="K67" s="76" t="s">
        <v>369</v>
      </c>
      <c r="L67" s="148">
        <v>45824</v>
      </c>
      <c r="M67" s="162" t="s">
        <v>370</v>
      </c>
      <c r="N67" s="150" t="s">
        <v>382</v>
      </c>
      <c r="O67" s="150"/>
      <c r="P67" s="150" t="s">
        <v>373</v>
      </c>
      <c r="Q67" s="150" t="s">
        <v>461</v>
      </c>
      <c r="R67" s="150" t="s">
        <v>382</v>
      </c>
      <c r="S67" s="150" t="s">
        <v>705</v>
      </c>
      <c r="T67" s="150" t="s">
        <v>410</v>
      </c>
      <c r="U67" s="150">
        <f>'Portafolio P&amp;D'!Q11</f>
        <v>2021</v>
      </c>
      <c r="V67" s="150">
        <f>'Portafolio P&amp;D'!R11</f>
        <v>2025</v>
      </c>
      <c r="W67" s="76">
        <v>45835</v>
      </c>
      <c r="X67" s="109" t="s">
        <v>373</v>
      </c>
      <c r="Y67" s="150" t="s">
        <v>107</v>
      </c>
      <c r="Z67" s="55" t="s">
        <v>374</v>
      </c>
      <c r="AA67" s="162" t="s">
        <v>355</v>
      </c>
      <c r="AB67" s="150" t="s">
        <v>356</v>
      </c>
      <c r="AC67" s="150" t="s">
        <v>357</v>
      </c>
      <c r="AD67" s="150" t="str">
        <f>'Portafolio P&amp;D'!X11</f>
        <v>Jorge Ruiz</v>
      </c>
      <c r="AE67" s="150" t="s">
        <v>435</v>
      </c>
      <c r="AF67" s="153"/>
      <c r="AG67" s="149"/>
      <c r="AH67" s="151">
        <v>45824</v>
      </c>
      <c r="AI67" s="248">
        <v>45989</v>
      </c>
      <c r="AJ67" s="248"/>
      <c r="AK67" s="155" t="s">
        <v>373</v>
      </c>
      <c r="AL67" s="155" t="s">
        <v>373</v>
      </c>
      <c r="AM67" s="279" t="str">
        <f>IF(DemandaEstrateg_[[#This Row],[Tipo de Requerimiento]]="Proyecto",(DemandaEstrateg_[[#This Row],[% Avance ejecutado]]-DemandaEstrateg_[[#This Row],[% Avance Planificado]])/DemandaEstrateg_[[#This Row],[% Avance Planificado]],"No aplica")</f>
        <v>No aplica</v>
      </c>
      <c r="AN67" s="279" t="str">
        <f>IF(DemandaEstrateg_[[#This Row],[Tipo de Requerimiento]]="Proyecto",(DemandaEstrateg_[[#This Row],[% Avance ejecutado]]-DemandaEstrateg_[[#This Row],[% Avance Planificado]])/DemandaEstrateg_[[#This Row],[% Avance Planificado]],"No aplica")</f>
        <v>No aplica</v>
      </c>
      <c r="AO67" s="191"/>
      <c r="AP67" s="374">
        <v>46023</v>
      </c>
      <c r="AQ67" s="191" t="s">
        <v>359</v>
      </c>
      <c r="AR67" s="153" t="s">
        <v>386</v>
      </c>
      <c r="AS67" s="150" t="str">
        <f>VLOOKUP(DemandaEstrateg_[[#This Row],[Últ. Estado CQ 14.05]],Tabla36[[Estado CQ]:[Estado TI]],3,FALSE)</f>
        <v>03. En Desarrollo</v>
      </c>
      <c r="AT67" s="152" t="str">
        <f>VLOOKUP(DemandaEstrateg_[[#This Row],[Estado TI]],Tabla12[],3,FALSE)</f>
        <v>02. En Ejecución</v>
      </c>
      <c r="AU67" s="231" t="s">
        <v>706</v>
      </c>
      <c r="AV67" s="205" t="s">
        <v>175</v>
      </c>
    </row>
    <row r="68" spans="1:48" ht="49.9" customHeight="1">
      <c r="A68" s="55">
        <v>2900</v>
      </c>
      <c r="B68" s="150" t="s">
        <v>730</v>
      </c>
      <c r="C68" s="150">
        <v>2487</v>
      </c>
      <c r="D68" s="150" t="s">
        <v>397</v>
      </c>
      <c r="E68" s="55" t="s">
        <v>364</v>
      </c>
      <c r="F68" s="58" t="s">
        <v>731</v>
      </c>
      <c r="G68" s="58" t="s">
        <v>731</v>
      </c>
      <c r="H68" s="55" t="s">
        <v>367</v>
      </c>
      <c r="I68" s="55" t="s">
        <v>368</v>
      </c>
      <c r="J68" s="55" t="str">
        <f>'Portafolio P&amp;D'!$G$11</f>
        <v>Luis Garcia; 
Liliana Casafranca</v>
      </c>
      <c r="K68" s="76" t="s">
        <v>369</v>
      </c>
      <c r="L68" s="148">
        <v>45838</v>
      </c>
      <c r="M68" s="163" t="s">
        <v>732</v>
      </c>
      <c r="N68" s="150" t="s">
        <v>482</v>
      </c>
      <c r="O68" s="150" t="s">
        <v>733</v>
      </c>
      <c r="P68" s="150" t="s">
        <v>373</v>
      </c>
      <c r="Q68" s="150" t="s">
        <v>381</v>
      </c>
      <c r="R68" s="150" t="s">
        <v>382</v>
      </c>
      <c r="S68" s="150" t="s">
        <v>410</v>
      </c>
      <c r="T68" s="150" t="s">
        <v>410</v>
      </c>
      <c r="U68" s="150">
        <f>'Portafolio P&amp;D'!Q11</f>
        <v>2021</v>
      </c>
      <c r="V68" s="150">
        <f>'Portafolio P&amp;D'!R11</f>
        <v>2025</v>
      </c>
      <c r="W68" s="158" t="s">
        <v>394</v>
      </c>
      <c r="X68" s="109" t="s">
        <v>373</v>
      </c>
      <c r="Y68" s="150" t="s">
        <v>107</v>
      </c>
      <c r="Z68" s="55" t="s">
        <v>374</v>
      </c>
      <c r="AA68" s="162" t="s">
        <v>355</v>
      </c>
      <c r="AB68" s="150" t="s">
        <v>356</v>
      </c>
      <c r="AC68" s="150" t="s">
        <v>357</v>
      </c>
      <c r="AD68" s="150" t="str">
        <f>'Portafolio P&amp;D'!X11</f>
        <v>Jorge Ruiz</v>
      </c>
      <c r="AE68" s="150" t="s">
        <v>435</v>
      </c>
      <c r="AF68" s="153"/>
      <c r="AG68" s="149"/>
      <c r="AH68" s="172" t="s">
        <v>394</v>
      </c>
      <c r="AI68" s="248">
        <v>45989</v>
      </c>
      <c r="AJ68" s="248"/>
      <c r="AK68" s="155" t="s">
        <v>373</v>
      </c>
      <c r="AL68" s="155" t="s">
        <v>373</v>
      </c>
      <c r="AM68" s="279" t="str">
        <f>IF(DemandaEstrateg_[[#This Row],[Tipo de Requerimiento]]="Proyecto",(DemandaEstrateg_[[#This Row],[% Avance ejecutado]]-DemandaEstrateg_[[#This Row],[% Avance Planificado]])/DemandaEstrateg_[[#This Row],[% Avance Planificado]],"No aplica")</f>
        <v>No aplica</v>
      </c>
      <c r="AN68" s="279" t="str">
        <f>IF(DemandaEstrateg_[[#This Row],[Tipo de Requerimiento]]="Proyecto",(DemandaEstrateg_[[#This Row],[% Avance ejecutado]]-DemandaEstrateg_[[#This Row],[% Avance Planificado]])/DemandaEstrateg_[[#This Row],[% Avance Planificado]],"No aplica")</f>
        <v>No aplica</v>
      </c>
      <c r="AO68" s="191"/>
      <c r="AP68" s="374">
        <v>46023</v>
      </c>
      <c r="AQ68" s="191" t="s">
        <v>359</v>
      </c>
      <c r="AR68" s="153" t="s">
        <v>394</v>
      </c>
      <c r="AS68" s="159" t="s">
        <v>666</v>
      </c>
      <c r="AT68" s="152" t="str">
        <f>VLOOKUP(DemandaEstrateg_[[#This Row],[Estado TI]],Tabla12[],3,FALSE)</f>
        <v>01. No Iniciado</v>
      </c>
      <c r="AU68" s="231" t="s">
        <v>734</v>
      </c>
      <c r="AV68" s="205" t="s">
        <v>175</v>
      </c>
    </row>
    <row r="69" spans="1:48" ht="51">
      <c r="A69" s="298">
        <v>2951</v>
      </c>
      <c r="B69" s="299" t="s">
        <v>735</v>
      </c>
      <c r="C69" s="299">
        <v>2649</v>
      </c>
      <c r="D69" s="299" t="s">
        <v>736</v>
      </c>
      <c r="E69" s="55" t="s">
        <v>364</v>
      </c>
      <c r="F69" s="301" t="s">
        <v>737</v>
      </c>
      <c r="G69" s="301" t="s">
        <v>738</v>
      </c>
      <c r="H69" s="300" t="s">
        <v>113</v>
      </c>
      <c r="I69" s="300" t="str">
        <f>'Portafolio P&amp;D'!$F$36</f>
        <v>María Luisa Guevara</v>
      </c>
      <c r="J69" s="300" t="str">
        <f>'Portafolio P&amp;D'!$G$36</f>
        <v>Marco Ortiz</v>
      </c>
      <c r="K69" s="302" t="str">
        <f>'Portafolio P&amp;D'!H36</f>
        <v>Rina Roca</v>
      </c>
      <c r="L69" s="303">
        <v>45869</v>
      </c>
      <c r="M69" s="304" t="s">
        <v>370</v>
      </c>
      <c r="N69" s="299" t="s">
        <v>382</v>
      </c>
      <c r="O69" s="305" t="s">
        <v>175</v>
      </c>
      <c r="P69" s="305" t="s">
        <v>373</v>
      </c>
      <c r="Q69" s="299" t="s">
        <v>381</v>
      </c>
      <c r="R69" s="150" t="s">
        <v>175</v>
      </c>
      <c r="S69" s="150" t="s">
        <v>410</v>
      </c>
      <c r="T69" s="150" t="s">
        <v>410</v>
      </c>
      <c r="U69" s="299">
        <f>'Portafolio P&amp;D'!Q36</f>
        <v>2024</v>
      </c>
      <c r="V69" s="299">
        <f>'Portafolio P&amp;D'!R36</f>
        <v>2026</v>
      </c>
      <c r="W69" s="158" t="s">
        <v>394</v>
      </c>
      <c r="X69" s="109" t="s">
        <v>373</v>
      </c>
      <c r="Y69" s="303" t="s">
        <v>263</v>
      </c>
      <c r="Z69" s="55" t="s">
        <v>634</v>
      </c>
      <c r="AA69" s="162" t="s">
        <v>635</v>
      </c>
      <c r="AB69" s="150" t="s">
        <v>356</v>
      </c>
      <c r="AC69" s="150" t="str">
        <f>$AC$49</f>
        <v>Novatronic</v>
      </c>
      <c r="AD69" s="150" t="str">
        <f>$AD$49</f>
        <v>Eduardo Cardenas / Elia Muñoz</v>
      </c>
      <c r="AE69" s="299" t="str">
        <f>$AE$49</f>
        <v>Ricardo Cuba; Emerson Queccara; Mario Carbajo; Norma Fukunaga</v>
      </c>
      <c r="AF69" s="306"/>
      <c r="AG69" s="307"/>
      <c r="AH69" s="314"/>
      <c r="AI69" s="315"/>
      <c r="AJ69" s="315"/>
      <c r="AK69" s="308"/>
      <c r="AL69" s="308"/>
      <c r="AM69" s="309" t="str">
        <f>IF(DemandaEstrateg_[[#This Row],[Tipo de Requerimiento]]="Proyecto",(DemandaEstrateg_[[#This Row],[% Avance ejecutado]]-DemandaEstrateg_[[#This Row],[% Avance Planificado]])/DemandaEstrateg_[[#This Row],[% Avance Planificado]],"No aplica")</f>
        <v>No aplica</v>
      </c>
      <c r="AN69" s="310" t="str">
        <f>IF(DemandaEstrateg_[[#This Row],[Tipo de Requerimiento]]="Proyecto",(DemandaEstrateg_[[#This Row],[% Avance ejecutado]]-DemandaEstrateg_[[#This Row],[% Avance Planificado]])/DemandaEstrateg_[[#This Row],[% Avance Planificado]],"No aplica")</f>
        <v>No aplica</v>
      </c>
      <c r="AO69" s="311"/>
      <c r="AP69" s="313"/>
      <c r="AQ69" s="313"/>
      <c r="AR69" s="322" t="s">
        <v>386</v>
      </c>
      <c r="AS69" s="150" t="str">
        <f>VLOOKUP(DemandaEstrateg_[[#This Row],[Últ. Estado CQ 14.05]],Tabla36[[Estado CQ]:[Estado TI]],3,FALSE)</f>
        <v>03. En Desarrollo</v>
      </c>
      <c r="AT69" s="152" t="str">
        <f>VLOOKUP(DemandaEstrateg_[[#This Row],[Estado TI]],Tabla12[],3,FALSE)</f>
        <v>02. En Ejecución</v>
      </c>
      <c r="AU69" s="312" t="s">
        <v>739</v>
      </c>
      <c r="AV69" s="205" t="s">
        <v>175</v>
      </c>
    </row>
    <row r="70" spans="1:48" ht="71.25" customHeight="1">
      <c r="A70" s="298">
        <v>3025</v>
      </c>
      <c r="B70" s="299" t="s">
        <v>740</v>
      </c>
      <c r="C70" s="299" t="s">
        <v>175</v>
      </c>
      <c r="D70" s="299" t="s">
        <v>741</v>
      </c>
      <c r="E70" s="55" t="s">
        <v>347</v>
      </c>
      <c r="F70" s="301" t="str">
        <f>'Portafolio P&amp;D'!C42</f>
        <v>Aplicativo de Evaluación de Desempeño por Objetivos - EDDO</v>
      </c>
      <c r="G70" s="382" t="s">
        <v>742</v>
      </c>
      <c r="H70" s="300" t="str">
        <f>'Portafolio P&amp;D'!E42</f>
        <v>Recursos Humanos y Cultura</v>
      </c>
      <c r="I70" s="300" t="str">
        <f>'Portafolio P&amp;D'!F42</f>
        <v>Jenny Talavera</v>
      </c>
      <c r="J70" s="300" t="s">
        <v>302</v>
      </c>
      <c r="K70" s="302"/>
      <c r="L70" s="303">
        <v>45908</v>
      </c>
      <c r="M70" s="304" t="s">
        <v>743</v>
      </c>
      <c r="N70" s="299" t="s">
        <v>382</v>
      </c>
      <c r="O70" s="305" t="s">
        <v>175</v>
      </c>
      <c r="P70" s="305" t="s">
        <v>373</v>
      </c>
      <c r="Q70" s="299" t="s">
        <v>483</v>
      </c>
      <c r="R70" s="299" t="s">
        <v>373</v>
      </c>
      <c r="S70" s="299" t="s">
        <v>175</v>
      </c>
      <c r="T70" s="377" t="s">
        <v>373</v>
      </c>
      <c r="U70" s="299">
        <v>2025</v>
      </c>
      <c r="V70" s="299">
        <f>'Portafolio P&amp;D'!R138</f>
        <v>0</v>
      </c>
      <c r="W70" s="378"/>
      <c r="X70" s="379"/>
      <c r="Y70" s="303" t="s">
        <v>304</v>
      </c>
      <c r="Z70" s="303" t="s">
        <v>634</v>
      </c>
      <c r="AA70" s="387"/>
      <c r="AB70" s="299" t="s">
        <v>434</v>
      </c>
      <c r="AC70" s="299" t="s">
        <v>628</v>
      </c>
      <c r="AD70" s="388" t="s">
        <v>139</v>
      </c>
      <c r="AE70" s="388"/>
      <c r="AF70" s="306"/>
      <c r="AG70" s="307"/>
      <c r="AH70" s="380">
        <v>45965</v>
      </c>
      <c r="AI70" s="381">
        <v>46234</v>
      </c>
      <c r="AJ70" s="381"/>
      <c r="AK70" s="308">
        <v>0.27</v>
      </c>
      <c r="AL70" s="308">
        <v>0.27</v>
      </c>
      <c r="AM70" s="309">
        <f>IF(DemandaEstrateg_[[#This Row],[Tipo de Requerimiento]]="Proyecto",(DemandaEstrateg_[[#This Row],[% Avance ejecutado]]-DemandaEstrateg_[[#This Row],[% Avance Planificado]])/DemandaEstrateg_[[#This Row],[% Avance Planificado]],"No aplica")</f>
        <v>0</v>
      </c>
      <c r="AN70" s="310">
        <f>IF(DemandaEstrateg_[[#This Row],[Tipo de Requerimiento]]="Proyecto",(DemandaEstrateg_[[#This Row],[% Avance ejecutado]]-DemandaEstrateg_[[#This Row],[% Avance Planificado]])/DemandaEstrateg_[[#This Row],[% Avance Planificado]],"No aplica")</f>
        <v>0</v>
      </c>
      <c r="AO70" s="311"/>
      <c r="AP70" s="444">
        <v>46555</v>
      </c>
      <c r="AQ70" s="444" t="s">
        <v>688</v>
      </c>
      <c r="AR70" s="383" t="s">
        <v>386</v>
      </c>
      <c r="AS70" s="384" t="str">
        <f>VLOOKUP(DemandaEstrateg_[[#This Row],[Últ. Estado CQ 14.05]],Tabla36[[Estado CQ]:[Estado TI]],3,FALSE)</f>
        <v>03. En Desarrollo</v>
      </c>
      <c r="AT70" s="385" t="str">
        <f>VLOOKUP(DemandaEstrateg_[[#This Row],[Estado TI]],Tabla12[],3,FALSE)</f>
        <v>02. En Ejecución</v>
      </c>
      <c r="AU70" s="312" t="s">
        <v>744</v>
      </c>
      <c r="AV70" s="386" t="str">
        <f>'Portafolio P&amp;D'!B42</f>
        <v>PROEDDO-EO07-25-42</v>
      </c>
    </row>
    <row r="71" spans="1:48" ht="78.75" customHeight="1" thickBot="1">
      <c r="A71" s="298">
        <v>2839</v>
      </c>
      <c r="B71" s="299" t="s">
        <v>745</v>
      </c>
      <c r="C71" s="150">
        <v>2487</v>
      </c>
      <c r="D71" s="299" t="s">
        <v>746</v>
      </c>
      <c r="E71" s="55" t="s">
        <v>364</v>
      </c>
      <c r="F71" s="301" t="s">
        <v>747</v>
      </c>
      <c r="G71" s="301"/>
      <c r="H71" s="300" t="s">
        <v>367</v>
      </c>
      <c r="I71" s="55" t="s">
        <v>368</v>
      </c>
      <c r="J71" s="55" t="str">
        <f>'Portafolio P&amp;D'!$G$11</f>
        <v>Luis Garcia; 
Liliana Casafranca</v>
      </c>
      <c r="K71" s="76" t="s">
        <v>369</v>
      </c>
      <c r="L71" s="148">
        <v>45838</v>
      </c>
      <c r="M71" s="163" t="s">
        <v>732</v>
      </c>
      <c r="N71" s="150" t="s">
        <v>482</v>
      </c>
      <c r="O71" s="150" t="s">
        <v>733</v>
      </c>
      <c r="P71" s="150" t="s">
        <v>373</v>
      </c>
      <c r="Q71" s="150" t="s">
        <v>381</v>
      </c>
      <c r="R71" s="150" t="s">
        <v>382</v>
      </c>
      <c r="S71" s="150" t="s">
        <v>410</v>
      </c>
      <c r="T71" s="150" t="s">
        <v>410</v>
      </c>
      <c r="U71" s="150">
        <f>'Portafolio P&amp;D'!Q18</f>
        <v>2023</v>
      </c>
      <c r="V71" s="150">
        <f>'Portafolio P&amp;D'!R18</f>
        <v>2027</v>
      </c>
      <c r="W71" s="158" t="s">
        <v>394</v>
      </c>
      <c r="X71" s="109" t="s">
        <v>373</v>
      </c>
      <c r="Y71" s="150" t="s">
        <v>107</v>
      </c>
      <c r="Z71" s="55" t="s">
        <v>374</v>
      </c>
      <c r="AA71" s="162" t="s">
        <v>355</v>
      </c>
      <c r="AB71" s="299" t="s">
        <v>356</v>
      </c>
      <c r="AC71" s="299" t="s">
        <v>628</v>
      </c>
      <c r="AD71" s="150" t="str">
        <f>'Portafolio P&amp;D'!X17</f>
        <v>Elia Muñoz</v>
      </c>
      <c r="AE71" s="150" t="s">
        <v>435</v>
      </c>
      <c r="AF71" s="306"/>
      <c r="AG71" s="307"/>
      <c r="AH71" s="380">
        <v>45838</v>
      </c>
      <c r="AI71" s="248">
        <v>45989</v>
      </c>
      <c r="AJ71" s="451"/>
      <c r="AK71" s="308"/>
      <c r="AL71" s="308"/>
      <c r="AM71" s="309" t="str">
        <f>IF(DemandaEstrateg_[[#This Row],[Tipo de Requerimiento]]="Proyecto",(DemandaEstrateg_[[#This Row],[% Avance ejecutado]]-DemandaEstrateg_[[#This Row],[% Avance Planificado]])/DemandaEstrateg_[[#This Row],[% Avance Planificado]],"No aplica")</f>
        <v>No aplica</v>
      </c>
      <c r="AN71" s="310" t="str">
        <f>IF(DemandaEstrateg_[[#This Row],[Tipo de Requerimiento]]="Proyecto",(DemandaEstrateg_[[#This Row],[% Avance ejecutado]]-DemandaEstrateg_[[#This Row],[% Avance Planificado]])/DemandaEstrateg_[[#This Row],[% Avance Planificado]],"No aplica")</f>
        <v>No aplica</v>
      </c>
      <c r="AO71" s="311"/>
      <c r="AP71" s="374">
        <v>46023</v>
      </c>
      <c r="AQ71" s="191" t="s">
        <v>359</v>
      </c>
      <c r="AR71" s="383" t="s">
        <v>386</v>
      </c>
      <c r="AS71" s="384" t="str">
        <f>VLOOKUP(DemandaEstrateg_[[#This Row],[Últ. Estado CQ 14.05]],Tabla36[[Estado CQ]:[Estado TI]],3,FALSE)</f>
        <v>03. En Desarrollo</v>
      </c>
      <c r="AT71" s="152" t="str">
        <f>VLOOKUP(DemandaEstrateg_[[#This Row],[Estado TI]],Tabla12[],3,FALSE)</f>
        <v>02. En Ejecución</v>
      </c>
      <c r="AU71" s="312" t="s">
        <v>748</v>
      </c>
      <c r="AV71" s="205" t="s">
        <v>175</v>
      </c>
    </row>
    <row r="72" spans="1:48" ht="81">
      <c r="A72" s="298">
        <v>2901</v>
      </c>
      <c r="B72" s="299" t="s">
        <v>749</v>
      </c>
      <c r="C72" s="150">
        <v>2487</v>
      </c>
      <c r="D72" s="299" t="s">
        <v>750</v>
      </c>
      <c r="E72" s="55" t="s">
        <v>364</v>
      </c>
      <c r="F72" s="301" t="s">
        <v>751</v>
      </c>
      <c r="G72" s="301" t="s">
        <v>751</v>
      </c>
      <c r="H72" s="300" t="s">
        <v>367</v>
      </c>
      <c r="I72" s="55" t="s">
        <v>368</v>
      </c>
      <c r="J72" s="55" t="str">
        <f>'Portafolio P&amp;D'!$G$11</f>
        <v>Luis Garcia; 
Liliana Casafranca</v>
      </c>
      <c r="K72" s="76" t="s">
        <v>369</v>
      </c>
      <c r="L72" s="148">
        <v>45838</v>
      </c>
      <c r="M72" s="163" t="s">
        <v>732</v>
      </c>
      <c r="N72" s="150" t="s">
        <v>482</v>
      </c>
      <c r="O72" s="150" t="s">
        <v>733</v>
      </c>
      <c r="P72" s="150" t="s">
        <v>373</v>
      </c>
      <c r="Q72" s="150" t="s">
        <v>381</v>
      </c>
      <c r="R72" s="150" t="s">
        <v>382</v>
      </c>
      <c r="S72" s="150" t="s">
        <v>410</v>
      </c>
      <c r="T72" s="150" t="s">
        <v>410</v>
      </c>
      <c r="U72" s="150">
        <f>'Portafolio P&amp;D'!Q20</f>
        <v>2023</v>
      </c>
      <c r="V72" s="150">
        <f>'Portafolio P&amp;D'!R20</f>
        <v>2025</v>
      </c>
      <c r="W72" s="158" t="s">
        <v>394</v>
      </c>
      <c r="X72" s="109" t="s">
        <v>373</v>
      </c>
      <c r="Y72" s="150" t="s">
        <v>107</v>
      </c>
      <c r="Z72" s="55" t="s">
        <v>374</v>
      </c>
      <c r="AA72" s="162" t="s">
        <v>355</v>
      </c>
      <c r="AB72" s="299" t="s">
        <v>356</v>
      </c>
      <c r="AC72" s="299" t="s">
        <v>628</v>
      </c>
      <c r="AD72" s="150" t="str">
        <f>'Portafolio P&amp;D'!X19</f>
        <v>No definido</v>
      </c>
      <c r="AE72" s="150" t="s">
        <v>435</v>
      </c>
      <c r="AF72" s="306"/>
      <c r="AG72" s="307"/>
      <c r="AH72" s="380">
        <v>45838</v>
      </c>
      <c r="AI72" s="248">
        <v>45989</v>
      </c>
      <c r="AJ72" s="451"/>
      <c r="AK72" s="308"/>
      <c r="AL72" s="308"/>
      <c r="AM72" s="309" t="str">
        <f>IF(DemandaEstrateg_[[#This Row],[Tipo de Requerimiento]]="Proyecto",(DemandaEstrateg_[[#This Row],[% Avance ejecutado]]-DemandaEstrateg_[[#This Row],[% Avance Planificado]])/DemandaEstrateg_[[#This Row],[% Avance Planificado]],"No aplica")</f>
        <v>No aplica</v>
      </c>
      <c r="AN72" s="310" t="str">
        <f>IF(DemandaEstrateg_[[#This Row],[Tipo de Requerimiento]]="Proyecto",(DemandaEstrateg_[[#This Row],[% Avance ejecutado]]-DemandaEstrateg_[[#This Row],[% Avance Planificado]])/DemandaEstrateg_[[#This Row],[% Avance Planificado]],"No aplica")</f>
        <v>No aplica</v>
      </c>
      <c r="AO72" s="311"/>
      <c r="AP72" s="374">
        <v>46023</v>
      </c>
      <c r="AQ72" s="191" t="s">
        <v>359</v>
      </c>
      <c r="AR72" s="457" t="s">
        <v>721</v>
      </c>
      <c r="AS72" s="384" t="str">
        <f>VLOOKUP(DemandaEstrateg_[[#This Row],[Últ. Estado CQ 14.05]],Tabla36[[Estado CQ]:[Estado TI]],3,FALSE)</f>
        <v>04. Desarrollo Finalizado</v>
      </c>
      <c r="AT72" s="152" t="str">
        <f>VLOOKUP(DemandaEstrateg_[[#This Row],[Estado TI]],Tabla12[],3,FALSE)</f>
        <v>02. En Ejecución</v>
      </c>
      <c r="AU72" s="312" t="s">
        <v>752</v>
      </c>
      <c r="AV72" s="205" t="s">
        <v>175</v>
      </c>
    </row>
    <row r="73" spans="1:48" ht="69.75" customHeight="1">
      <c r="A73" s="298">
        <v>2560</v>
      </c>
      <c r="B73" s="299" t="s">
        <v>753</v>
      </c>
      <c r="C73" s="150">
        <v>2681</v>
      </c>
      <c r="D73" s="150" t="s">
        <v>397</v>
      </c>
      <c r="E73" s="55" t="s">
        <v>347</v>
      </c>
      <c r="F73" s="58" t="s">
        <v>754</v>
      </c>
      <c r="G73" s="301" t="s">
        <v>755</v>
      </c>
      <c r="H73" s="300" t="s">
        <v>34</v>
      </c>
      <c r="I73" s="55" t="s">
        <v>78</v>
      </c>
      <c r="J73" s="300" t="s">
        <v>78</v>
      </c>
      <c r="K73" s="302"/>
      <c r="L73" s="303"/>
      <c r="M73" s="304"/>
      <c r="N73" s="299" t="s">
        <v>643</v>
      </c>
      <c r="O73" s="305" t="s">
        <v>175</v>
      </c>
      <c r="P73" s="305" t="s">
        <v>373</v>
      </c>
      <c r="Q73" s="299" t="s">
        <v>97</v>
      </c>
      <c r="R73" s="299" t="s">
        <v>382</v>
      </c>
      <c r="S73" s="299" t="s">
        <v>410</v>
      </c>
      <c r="T73" s="150" t="s">
        <v>410</v>
      </c>
      <c r="U73" s="299">
        <v>2025</v>
      </c>
      <c r="V73" s="299">
        <v>2026</v>
      </c>
      <c r="W73" s="378">
        <v>45121</v>
      </c>
      <c r="X73" s="277">
        <v>866957</v>
      </c>
      <c r="Y73" s="150" t="s">
        <v>80</v>
      </c>
      <c r="Z73" s="55" t="s">
        <v>644</v>
      </c>
      <c r="AA73" s="162" t="s">
        <v>394</v>
      </c>
      <c r="AB73" s="150" t="s">
        <v>645</v>
      </c>
      <c r="AC73" s="182" t="s">
        <v>646</v>
      </c>
      <c r="AD73" s="150" t="s">
        <v>81</v>
      </c>
      <c r="AE73" s="150" t="s">
        <v>756</v>
      </c>
      <c r="AF73" s="306"/>
      <c r="AG73" s="307"/>
      <c r="AH73" s="151">
        <v>45943</v>
      </c>
      <c r="AI73" s="154">
        <v>46356</v>
      </c>
      <c r="AJ73" s="381"/>
      <c r="AK73" s="308">
        <v>0.38</v>
      </c>
      <c r="AL73" s="308">
        <v>0.39</v>
      </c>
      <c r="AM73" s="309">
        <f>IF(DemandaEstrateg_[[#This Row],[Tipo de Requerimiento]]="Proyecto",(DemandaEstrateg_[[#This Row],[% Avance ejecutado]]-DemandaEstrateg_[[#This Row],[% Avance Planificado]])/DemandaEstrateg_[[#This Row],[% Avance Planificado]],"No aplica")</f>
        <v>2.6315789473684233E-2</v>
      </c>
      <c r="AN73" s="310">
        <f>IF(DemandaEstrateg_[[#This Row],[Tipo de Requerimiento]]="Proyecto",(DemandaEstrateg_[[#This Row],[% Avance ejecutado]]-DemandaEstrateg_[[#This Row],[% Avance Planificado]])/DemandaEstrateg_[[#This Row],[% Avance Planificado]],"No aplica")</f>
        <v>2.6315789473684233E-2</v>
      </c>
      <c r="AO73" s="311"/>
      <c r="AP73" s="290">
        <v>46266</v>
      </c>
      <c r="AQ73" s="153" t="s">
        <v>639</v>
      </c>
      <c r="AR73" s="383" t="s">
        <v>757</v>
      </c>
      <c r="AS73" s="320" t="s">
        <v>360</v>
      </c>
      <c r="AT73" s="385" t="str">
        <f>VLOOKUP(DemandaEstrateg_[[#This Row],[Estado TI]],Tabla12[],3,FALSE)</f>
        <v>02. En Ejecución</v>
      </c>
      <c r="AU73" s="312" t="s">
        <v>758</v>
      </c>
      <c r="AV73" s="214" t="str">
        <f>'Portafolio P&amp;D'!B8</f>
        <v>PRONCR-EO05-23-5</v>
      </c>
    </row>
    <row r="74" spans="1:48" ht="51.75" thickBot="1">
      <c r="A74" s="298">
        <v>3034</v>
      </c>
      <c r="B74" s="299" t="s">
        <v>759</v>
      </c>
      <c r="C74" s="298">
        <v>3025</v>
      </c>
      <c r="D74" s="150" t="s">
        <v>397</v>
      </c>
      <c r="E74" s="55" t="s">
        <v>364</v>
      </c>
      <c r="F74" s="301" t="s">
        <v>760</v>
      </c>
      <c r="G74" s="301" t="s">
        <v>761</v>
      </c>
      <c r="H74" s="300" t="s">
        <v>220</v>
      </c>
      <c r="I74" s="300" t="s">
        <v>302</v>
      </c>
      <c r="J74" s="300"/>
      <c r="K74" s="302"/>
      <c r="L74" s="303"/>
      <c r="M74" s="304"/>
      <c r="N74" s="299"/>
      <c r="O74" s="305"/>
      <c r="P74" s="305"/>
      <c r="Q74" s="299"/>
      <c r="R74" s="299"/>
      <c r="S74" s="299"/>
      <c r="T74" s="377"/>
      <c r="U74" s="299">
        <f>'Portafolio P&amp;D'!Q142</f>
        <v>0</v>
      </c>
      <c r="V74" s="299">
        <f>'Portafolio P&amp;D'!R142</f>
        <v>0</v>
      </c>
      <c r="W74" s="378"/>
      <c r="X74" s="379"/>
      <c r="Y74" s="303" t="s">
        <v>304</v>
      </c>
      <c r="Z74" s="303" t="s">
        <v>634</v>
      </c>
      <c r="AA74" s="304"/>
      <c r="AB74" s="299" t="s">
        <v>434</v>
      </c>
      <c r="AC74" s="299" t="s">
        <v>628</v>
      </c>
      <c r="AD74" s="299" t="s">
        <v>139</v>
      </c>
      <c r="AE74" s="299"/>
      <c r="AF74" s="306"/>
      <c r="AG74" s="307"/>
      <c r="AH74" s="380"/>
      <c r="AI74" s="381"/>
      <c r="AJ74" s="381"/>
      <c r="AK74" s="308"/>
      <c r="AL74" s="308"/>
      <c r="AM74" s="309" t="str">
        <f>IF(DemandaEstrateg_[[#This Row],[Tipo de Requerimiento]]="Proyecto",(DemandaEstrateg_[[#This Row],[% Avance ejecutado]]-DemandaEstrateg_[[#This Row],[% Avance Planificado]])/DemandaEstrateg_[[#This Row],[% Avance Planificado]],"No aplica")</f>
        <v>No aplica</v>
      </c>
      <c r="AN74" s="310" t="str">
        <f>IF(DemandaEstrateg_[[#This Row],[Tipo de Requerimiento]]="Proyecto",(DemandaEstrateg_[[#This Row],[% Avance ejecutado]]-DemandaEstrateg_[[#This Row],[% Avance Planificado]])/DemandaEstrateg_[[#This Row],[% Avance Planificado]],"No aplica")</f>
        <v>No aplica</v>
      </c>
      <c r="AO74" s="311"/>
      <c r="AP74" s="449">
        <v>46555</v>
      </c>
      <c r="AQ74" s="311" t="s">
        <v>688</v>
      </c>
      <c r="AR74" s="383" t="s">
        <v>394</v>
      </c>
      <c r="AS74" s="159" t="s">
        <v>666</v>
      </c>
      <c r="AT74" s="385" t="str">
        <f>VLOOKUP(DemandaEstrateg_[[#This Row],[Estado TI]],Tabla12[],3,FALSE)</f>
        <v>01. No Iniciado</v>
      </c>
      <c r="AU74" s="312" t="s">
        <v>762</v>
      </c>
      <c r="AV74" s="205" t="s">
        <v>175</v>
      </c>
    </row>
    <row r="75" spans="1:48" ht="94.5">
      <c r="A75" s="298">
        <v>2905</v>
      </c>
      <c r="B75" s="384" t="s">
        <v>763</v>
      </c>
      <c r="C75" s="384">
        <v>2249</v>
      </c>
      <c r="D75" s="299" t="s">
        <v>764</v>
      </c>
      <c r="E75" s="300" t="s">
        <v>364</v>
      </c>
      <c r="F75" s="418" t="s">
        <v>765</v>
      </c>
      <c r="G75" s="418" t="s">
        <v>766</v>
      </c>
      <c r="H75" s="419" t="s">
        <v>34</v>
      </c>
      <c r="I75" s="419" t="s">
        <v>65</v>
      </c>
      <c r="J75" s="300" t="s">
        <v>71</v>
      </c>
      <c r="K75" s="302" t="s">
        <v>72</v>
      </c>
      <c r="L75" s="420" t="s">
        <v>175</v>
      </c>
      <c r="M75" s="304" t="s">
        <v>420</v>
      </c>
      <c r="N75" s="384" t="s">
        <v>454</v>
      </c>
      <c r="O75" s="305" t="s">
        <v>72</v>
      </c>
      <c r="P75" s="305" t="s">
        <v>455</v>
      </c>
      <c r="Q75" s="421">
        <v>45842</v>
      </c>
      <c r="R75" s="422" t="s">
        <v>394</v>
      </c>
      <c r="S75" s="390"/>
      <c r="T75" s="377" t="s">
        <v>421</v>
      </c>
      <c r="U75" s="299" t="s">
        <v>386</v>
      </c>
      <c r="V75" s="299" t="s">
        <v>360</v>
      </c>
      <c r="W75" s="378" t="s">
        <v>767</v>
      </c>
      <c r="X75" s="379" t="s">
        <v>768</v>
      </c>
      <c r="Y75" s="303" t="s">
        <v>71</v>
      </c>
      <c r="Z75" s="303" t="s">
        <v>452</v>
      </c>
      <c r="AA75" s="149" t="s">
        <v>175</v>
      </c>
      <c r="AB75" s="150" t="s">
        <v>453</v>
      </c>
      <c r="AC75" s="150" t="s">
        <v>454</v>
      </c>
      <c r="AD75" s="389" t="s">
        <v>769</v>
      </c>
      <c r="AE75" s="150" t="s">
        <v>455</v>
      </c>
      <c r="AF75" s="306"/>
      <c r="AG75" s="307"/>
      <c r="AH75" s="380">
        <v>45629</v>
      </c>
      <c r="AI75" s="381">
        <v>46070</v>
      </c>
      <c r="AJ75" s="381"/>
      <c r="AK75" s="308">
        <v>1</v>
      </c>
      <c r="AL75" s="308">
        <v>0.76</v>
      </c>
      <c r="AM75" s="309" t="str">
        <f>IF(DemandaEstrateg_[[#This Row],[Tipo de Requerimiento]]="Proyecto",(DemandaEstrateg_[[#This Row],[% Avance ejecutado]]-DemandaEstrateg_[[#This Row],[% Avance Planificado]])/DemandaEstrateg_[[#This Row],[% Avance Planificado]],"No aplica")</f>
        <v>No aplica</v>
      </c>
      <c r="AN75" s="310" t="str">
        <f>IF(DemandaEstrateg_[[#This Row],[Tipo de Requerimiento]]="Proyecto",(DemandaEstrateg_[[#This Row],[% Avance ejecutado]]-DemandaEstrateg_[[#This Row],[% Avance Planificado]])/DemandaEstrateg_[[#This Row],[% Avance Planificado]],"No aplica")</f>
        <v>No aplica</v>
      </c>
      <c r="AO75" s="311"/>
      <c r="AP75" s="448">
        <v>46062</v>
      </c>
      <c r="AQ75" s="153" t="s">
        <v>359</v>
      </c>
      <c r="AR75" s="311" t="s">
        <v>386</v>
      </c>
      <c r="AS75" s="390" t="str">
        <f>VLOOKUP(DemandaEstrateg_[[#This Row],[Últ. Estado CQ 14.05]],Tabla36[[Estado CQ]:[Estado TI]],3,FALSE)</f>
        <v>03. En Desarrollo</v>
      </c>
      <c r="AT75" s="152" t="str">
        <f>VLOOKUP(DemandaEstrateg_[[#This Row],[Estado TI]],Tabla12[],3,FALSE)</f>
        <v>02. En Ejecución</v>
      </c>
      <c r="AU75" s="312" t="s">
        <v>770</v>
      </c>
      <c r="AV75" s="205" t="s">
        <v>175</v>
      </c>
    </row>
    <row r="76" spans="1:48" s="109" customFormat="1" ht="51">
      <c r="A76" s="298">
        <v>3099</v>
      </c>
      <c r="B76" s="299" t="s">
        <v>771</v>
      </c>
      <c r="C76" s="299">
        <v>1753</v>
      </c>
      <c r="D76" s="150" t="s">
        <v>397</v>
      </c>
      <c r="E76" s="300" t="s">
        <v>364</v>
      </c>
      <c r="F76" s="301" t="s">
        <v>772</v>
      </c>
      <c r="G76" s="301" t="s">
        <v>772</v>
      </c>
      <c r="H76" s="300" t="s">
        <v>93</v>
      </c>
      <c r="I76" s="300"/>
      <c r="J76" s="300"/>
      <c r="K76" s="302"/>
      <c r="L76" s="303"/>
      <c r="M76" s="304"/>
      <c r="N76" s="299"/>
      <c r="O76" s="305"/>
      <c r="P76" s="305"/>
      <c r="Q76" s="299"/>
      <c r="R76" s="299"/>
      <c r="S76" s="299"/>
      <c r="T76" s="377"/>
      <c r="U76" s="299">
        <f>'Portafolio P&amp;D'!Q144</f>
        <v>0</v>
      </c>
      <c r="V76" s="299">
        <f>'Portafolio P&amp;D'!R144</f>
        <v>0</v>
      </c>
      <c r="W76" s="378"/>
      <c r="X76" s="378"/>
      <c r="Y76" s="303" t="s">
        <v>107</v>
      </c>
      <c r="Z76" s="303" t="s">
        <v>374</v>
      </c>
      <c r="AA76" s="162" t="s">
        <v>355</v>
      </c>
      <c r="AB76" s="299" t="s">
        <v>356</v>
      </c>
      <c r="AC76" s="388"/>
      <c r="AD76" s="299" t="s">
        <v>108</v>
      </c>
      <c r="AE76" s="388"/>
      <c r="AF76" s="306"/>
      <c r="AG76" s="307"/>
      <c r="AH76" s="380"/>
      <c r="AI76" s="381"/>
      <c r="AJ76" s="381"/>
      <c r="AK76" s="308"/>
      <c r="AL76" s="308"/>
      <c r="AM76" s="309" t="str">
        <f>IF(DemandaEstrateg_[[#This Row],[Tipo de Requerimiento]]="Proyecto",(DemandaEstrateg_[[#This Row],[% Avance ejecutado]]-DemandaEstrateg_[[#This Row],[% Avance Planificado]])/DemandaEstrateg_[[#This Row],[% Avance Planificado]],"No aplica")</f>
        <v>No aplica</v>
      </c>
      <c r="AN76" s="310" t="str">
        <f>IF(DemandaEstrateg_[[#This Row],[Tipo de Requerimiento]]="Proyecto",(DemandaEstrateg_[[#This Row],[% Avance ejecutado]]-DemandaEstrateg_[[#This Row],[% Avance Planificado]])/DemandaEstrateg_[[#This Row],[% Avance Planificado]],"No aplica")</f>
        <v>No aplica</v>
      </c>
      <c r="AO76" s="311"/>
      <c r="AP76" s="311" t="s">
        <v>175</v>
      </c>
      <c r="AQ76" s="311" t="s">
        <v>175</v>
      </c>
      <c r="AR76" s="383" t="s">
        <v>394</v>
      </c>
      <c r="AS76" s="159" t="s">
        <v>466</v>
      </c>
      <c r="AT76" s="391" t="str">
        <f>VLOOKUP(DemandaEstrateg_[[#This Row],[Estado TI]],Tabla12[],3,FALSE)</f>
        <v>05. Descartado</v>
      </c>
      <c r="AU76" s="312" t="s">
        <v>773</v>
      </c>
      <c r="AV76" s="112">
        <f>'Portafolio P&amp;D'!B144</f>
        <v>0</v>
      </c>
    </row>
    <row r="77" spans="1:48" s="109" customFormat="1" ht="51.75" thickBot="1">
      <c r="A77" s="298">
        <v>3100</v>
      </c>
      <c r="B77" s="299" t="s">
        <v>774</v>
      </c>
      <c r="C77" s="299" t="s">
        <v>775</v>
      </c>
      <c r="D77" s="150" t="s">
        <v>397</v>
      </c>
      <c r="E77" s="300" t="s">
        <v>364</v>
      </c>
      <c r="F77" s="301" t="s">
        <v>776</v>
      </c>
      <c r="G77" s="301" t="s">
        <v>776</v>
      </c>
      <c r="H77" s="300" t="s">
        <v>93</v>
      </c>
      <c r="I77" s="300"/>
      <c r="J77" s="300"/>
      <c r="K77" s="302"/>
      <c r="L77" s="303"/>
      <c r="M77" s="304"/>
      <c r="N77" s="299"/>
      <c r="O77" s="305"/>
      <c r="P77" s="305"/>
      <c r="Q77" s="299"/>
      <c r="R77" s="299"/>
      <c r="S77" s="299"/>
      <c r="T77" s="377"/>
      <c r="U77" s="299">
        <f>'Portafolio P&amp;D'!Q145</f>
        <v>0</v>
      </c>
      <c r="V77" s="299">
        <f>'Portafolio P&amp;D'!R145</f>
        <v>0</v>
      </c>
      <c r="W77" s="378"/>
      <c r="X77" s="378"/>
      <c r="Y77" s="303" t="s">
        <v>107</v>
      </c>
      <c r="Z77" s="303" t="s">
        <v>374</v>
      </c>
      <c r="AA77" s="162" t="s">
        <v>355</v>
      </c>
      <c r="AB77" s="299" t="s">
        <v>356</v>
      </c>
      <c r="AC77" s="299"/>
      <c r="AD77" s="299"/>
      <c r="AE77" s="299"/>
      <c r="AF77" s="306"/>
      <c r="AG77" s="307"/>
      <c r="AH77" s="380"/>
      <c r="AI77" s="381"/>
      <c r="AJ77" s="381"/>
      <c r="AK77" s="308"/>
      <c r="AL77" s="308"/>
      <c r="AM77" s="309" t="str">
        <f>IF(DemandaEstrateg_[[#This Row],[Tipo de Requerimiento]]="Proyecto",(DemandaEstrateg_[[#This Row],[% Avance ejecutado]]-DemandaEstrateg_[[#This Row],[% Avance Planificado]])/DemandaEstrateg_[[#This Row],[% Avance Planificado]],"No aplica")</f>
        <v>No aplica</v>
      </c>
      <c r="AN77" s="310" t="str">
        <f>IF(DemandaEstrateg_[[#This Row],[Tipo de Requerimiento]]="Proyecto",(DemandaEstrateg_[[#This Row],[% Avance ejecutado]]-DemandaEstrateg_[[#This Row],[% Avance Planificado]])/DemandaEstrateg_[[#This Row],[% Avance Planificado]],"No aplica")</f>
        <v>No aplica</v>
      </c>
      <c r="AO77" s="311"/>
      <c r="AP77" s="311" t="s">
        <v>175</v>
      </c>
      <c r="AQ77" s="311" t="s">
        <v>175</v>
      </c>
      <c r="AR77" s="383" t="s">
        <v>394</v>
      </c>
      <c r="AS77" s="159" t="s">
        <v>466</v>
      </c>
      <c r="AT77" s="391" t="str">
        <f>VLOOKUP(DemandaEstrateg_[[#This Row],[Estado TI]],Tabla12[],3,FALSE)</f>
        <v>05. Descartado</v>
      </c>
      <c r="AU77" s="312" t="s">
        <v>777</v>
      </c>
      <c r="AV77" s="112">
        <f>'Portafolio P&amp;D'!B145</f>
        <v>0</v>
      </c>
    </row>
    <row r="78" spans="1:48" s="109" customFormat="1" ht="45" customHeight="1" thickBot="1">
      <c r="A78" s="426">
        <v>3101</v>
      </c>
      <c r="B78" s="427" t="s">
        <v>778</v>
      </c>
      <c r="C78" s="427">
        <v>2509</v>
      </c>
      <c r="D78" s="427" t="s">
        <v>779</v>
      </c>
      <c r="E78" s="428" t="s">
        <v>364</v>
      </c>
      <c r="F78" s="301" t="s">
        <v>780</v>
      </c>
      <c r="G78" s="429"/>
      <c r="H78" s="300" t="s">
        <v>128</v>
      </c>
      <c r="I78" s="428" t="s">
        <v>781</v>
      </c>
      <c r="J78" s="428"/>
      <c r="K78" s="430"/>
      <c r="L78" s="431"/>
      <c r="M78" s="452" t="s">
        <v>370</v>
      </c>
      <c r="N78" s="427"/>
      <c r="O78" s="150"/>
      <c r="P78" s="150"/>
      <c r="Q78" s="427"/>
      <c r="R78" s="427"/>
      <c r="S78" s="427"/>
      <c r="T78" s="433"/>
      <c r="U78" s="427">
        <f>'Portafolio P&amp;D'!Q146</f>
        <v>0</v>
      </c>
      <c r="V78" s="427">
        <f>'Portafolio P&amp;D'!R146</f>
        <v>0</v>
      </c>
      <c r="W78" s="434"/>
      <c r="X78" s="434"/>
      <c r="Y78" s="303" t="s">
        <v>151</v>
      </c>
      <c r="Z78" s="303" t="s">
        <v>152</v>
      </c>
      <c r="AA78" s="432"/>
      <c r="AB78" s="299" t="s">
        <v>434</v>
      </c>
      <c r="AC78" s="427" t="s">
        <v>454</v>
      </c>
      <c r="AD78" s="427" t="s">
        <v>782</v>
      </c>
      <c r="AE78" s="427" t="s">
        <v>783</v>
      </c>
      <c r="AF78" s="435"/>
      <c r="AG78" s="436"/>
      <c r="AH78" s="437">
        <v>45895</v>
      </c>
      <c r="AI78" s="438">
        <v>46021</v>
      </c>
      <c r="AJ78" s="471">
        <v>46037</v>
      </c>
      <c r="AK78" s="439">
        <v>1</v>
      </c>
      <c r="AL78" s="439">
        <v>0.99</v>
      </c>
      <c r="AM78" s="440" t="str">
        <f>IF(DemandaEstrateg_[[#This Row],[Tipo de Requerimiento]]="Proyecto",(DemandaEstrateg_[[#This Row],[% Avance ejecutado]]-DemandaEstrateg_[[#This Row],[% Avance Planificado]])/DemandaEstrateg_[[#This Row],[% Avance Planificado]],"No aplica")</f>
        <v>No aplica</v>
      </c>
      <c r="AN78" s="441" t="str">
        <f>IF(DemandaEstrateg_[[#This Row],[Tipo de Requerimiento]]="Proyecto",(DemandaEstrateg_[[#This Row],[% Avance ejecutado]]-DemandaEstrateg_[[#This Row],[% Avance Planificado]])/DemandaEstrateg_[[#This Row],[% Avance Planificado]],"No aplica")</f>
        <v>No aplica</v>
      </c>
      <c r="AO78" s="191"/>
      <c r="AP78" s="290">
        <v>46021</v>
      </c>
      <c r="AQ78" s="153" t="s">
        <v>421</v>
      </c>
      <c r="AR78" s="461" t="s">
        <v>422</v>
      </c>
      <c r="AS78" s="384" t="str">
        <f>VLOOKUP(DemandaEstrateg_[[#This Row],[Últ. Estado CQ 14.05]],Tabla36[[Estado CQ]:[Estado TI]],3,FALSE)</f>
        <v>08. Producción Finalizada</v>
      </c>
      <c r="AT78" s="152" t="str">
        <f>VLOOKUP(DemandaEstrateg_[[#This Row],[Estado TI]],Tabla12[],3,FALSE)</f>
        <v>03. Implementado</v>
      </c>
      <c r="AU78" s="443" t="s">
        <v>784</v>
      </c>
      <c r="AV78" s="112">
        <f>'Portafolio P&amp;D'!B146</f>
        <v>0</v>
      </c>
    </row>
    <row r="79" spans="1:48" s="109" customFormat="1" ht="45" customHeight="1" thickBot="1">
      <c r="A79" s="426">
        <v>3102</v>
      </c>
      <c r="B79" s="427" t="s">
        <v>785</v>
      </c>
      <c r="C79" s="427">
        <v>2509</v>
      </c>
      <c r="D79" s="427" t="s">
        <v>786</v>
      </c>
      <c r="E79" s="428" t="s">
        <v>364</v>
      </c>
      <c r="F79" s="301" t="s">
        <v>787</v>
      </c>
      <c r="G79" s="429"/>
      <c r="H79" s="300" t="s">
        <v>128</v>
      </c>
      <c r="I79" s="428" t="s">
        <v>781</v>
      </c>
      <c r="J79" s="428"/>
      <c r="K79" s="430"/>
      <c r="L79" s="431"/>
      <c r="M79" s="452" t="s">
        <v>370</v>
      </c>
      <c r="N79" s="427"/>
      <c r="O79" s="150"/>
      <c r="P79" s="150"/>
      <c r="Q79" s="427"/>
      <c r="R79" s="427"/>
      <c r="S79" s="427"/>
      <c r="T79" s="433"/>
      <c r="U79" s="427">
        <f>'Portafolio P&amp;D'!Q147</f>
        <v>0</v>
      </c>
      <c r="V79" s="427">
        <f>'Portafolio P&amp;D'!R147</f>
        <v>0</v>
      </c>
      <c r="W79" s="434"/>
      <c r="X79" s="434"/>
      <c r="Y79" s="303" t="s">
        <v>151</v>
      </c>
      <c r="Z79" s="303" t="s">
        <v>152</v>
      </c>
      <c r="AA79" s="432"/>
      <c r="AB79" s="299" t="s">
        <v>434</v>
      </c>
      <c r="AC79" s="427" t="s">
        <v>454</v>
      </c>
      <c r="AD79" s="427" t="s">
        <v>782</v>
      </c>
      <c r="AE79" s="427" t="s">
        <v>783</v>
      </c>
      <c r="AF79" s="435"/>
      <c r="AG79" s="436"/>
      <c r="AH79" s="437">
        <v>45931</v>
      </c>
      <c r="AI79" s="438">
        <v>46021</v>
      </c>
      <c r="AJ79" s="471"/>
      <c r="AK79" s="439"/>
      <c r="AL79" s="439"/>
      <c r="AM79" s="440" t="str">
        <f>IF(DemandaEstrateg_[[#This Row],[Tipo de Requerimiento]]="Proyecto",(DemandaEstrateg_[[#This Row],[% Avance ejecutado]]-DemandaEstrateg_[[#This Row],[% Avance Planificado]])/DemandaEstrateg_[[#This Row],[% Avance Planificado]],"No aplica")</f>
        <v>No aplica</v>
      </c>
      <c r="AN79" s="441" t="str">
        <f>IF(DemandaEstrateg_[[#This Row],[Tipo de Requerimiento]]="Proyecto",(DemandaEstrateg_[[#This Row],[% Avance ejecutado]]-DemandaEstrateg_[[#This Row],[% Avance Planificado]])/DemandaEstrateg_[[#This Row],[% Avance Planificado]],"No aplica")</f>
        <v>No aplica</v>
      </c>
      <c r="AO79" s="191"/>
      <c r="AP79" s="290">
        <v>46021</v>
      </c>
      <c r="AQ79" s="153" t="s">
        <v>421</v>
      </c>
      <c r="AR79" s="191" t="s">
        <v>788</v>
      </c>
      <c r="AS79" s="442" t="str">
        <f>VLOOKUP(DemandaEstrateg_[[#This Row],[Últ. Estado CQ 14.05]],Tabla36[[Estado CQ]:[Estado TI]],3,FALSE)</f>
        <v>08. Producción Finalizada</v>
      </c>
      <c r="AT79" s="152" t="str">
        <f>VLOOKUP(DemandaEstrateg_[[#This Row],[Estado TI]],Tabla12[],3,FALSE)</f>
        <v>03. Implementado</v>
      </c>
      <c r="AU79" s="443" t="s">
        <v>784</v>
      </c>
      <c r="AV79" s="112">
        <f>'Portafolio P&amp;D'!B147</f>
        <v>0</v>
      </c>
    </row>
    <row r="80" spans="1:48" s="109" customFormat="1" ht="39" thickBot="1">
      <c r="A80" s="426">
        <v>3105</v>
      </c>
      <c r="B80" s="427" t="s">
        <v>789</v>
      </c>
      <c r="C80" s="427">
        <v>2487</v>
      </c>
      <c r="D80" s="427" t="s">
        <v>790</v>
      </c>
      <c r="E80" s="300" t="s">
        <v>364</v>
      </c>
      <c r="F80" s="429" t="s">
        <v>791</v>
      </c>
      <c r="G80" s="429" t="s">
        <v>791</v>
      </c>
      <c r="H80" s="428" t="s">
        <v>113</v>
      </c>
      <c r="I80" s="428" t="s">
        <v>792</v>
      </c>
      <c r="J80" s="428"/>
      <c r="K80" s="430"/>
      <c r="L80" s="431"/>
      <c r="M80" s="432" t="s">
        <v>370</v>
      </c>
      <c r="N80" s="432" t="s">
        <v>643</v>
      </c>
      <c r="O80" s="150" t="s">
        <v>175</v>
      </c>
      <c r="P80" s="150" t="s">
        <v>175</v>
      </c>
      <c r="Q80" s="427" t="s">
        <v>381</v>
      </c>
      <c r="R80" s="427"/>
      <c r="S80" s="427"/>
      <c r="T80" s="433"/>
      <c r="U80" s="427">
        <f>'Portafolio P&amp;D'!Q149</f>
        <v>0</v>
      </c>
      <c r="V80" s="427">
        <f>'Portafolio P&amp;D'!R149</f>
        <v>0</v>
      </c>
      <c r="W80" s="434">
        <v>45972</v>
      </c>
      <c r="X80" s="434"/>
      <c r="Y80" s="431" t="s">
        <v>107</v>
      </c>
      <c r="Z80" s="303" t="s">
        <v>374</v>
      </c>
      <c r="AA80" s="162" t="s">
        <v>355</v>
      </c>
      <c r="AB80" s="427" t="s">
        <v>356</v>
      </c>
      <c r="AC80" s="456"/>
      <c r="AD80" s="299" t="s">
        <v>108</v>
      </c>
      <c r="AE80" s="456"/>
      <c r="AF80" s="435"/>
      <c r="AG80" s="436"/>
      <c r="AH80" s="437"/>
      <c r="AI80" s="438"/>
      <c r="AJ80" s="471"/>
      <c r="AK80" s="439"/>
      <c r="AL80" s="439"/>
      <c r="AM80" s="440" t="str">
        <f>IF(DemandaEstrateg_[[#This Row],[Tipo de Requerimiento]]="Proyecto",(DemandaEstrateg_[[#This Row],[% Avance ejecutado]]-DemandaEstrateg_[[#This Row],[% Avance Planificado]])/DemandaEstrateg_[[#This Row],[% Avance Planificado]],"No aplica")</f>
        <v>No aplica</v>
      </c>
      <c r="AN80" s="441" t="str">
        <f>IF(DemandaEstrateg_[[#This Row],[Tipo de Requerimiento]]="Proyecto",(DemandaEstrateg_[[#This Row],[% Avance ejecutado]]-DemandaEstrateg_[[#This Row],[% Avance Planificado]])/DemandaEstrateg_[[#This Row],[% Avance Planificado]],"No aplica")</f>
        <v>No aplica</v>
      </c>
      <c r="AO80" s="191"/>
      <c r="AP80" s="374">
        <v>46023</v>
      </c>
      <c r="AQ80" s="191" t="s">
        <v>359</v>
      </c>
      <c r="AR80" s="191" t="s">
        <v>386</v>
      </c>
      <c r="AS80" s="442" t="str">
        <f>VLOOKUP(DemandaEstrateg_[[#This Row],[Últ. Estado CQ 14.05]],Tabla36[[Estado CQ]:[Estado TI]],3,FALSE)</f>
        <v>03. En Desarrollo</v>
      </c>
      <c r="AT80" s="455" t="str">
        <f>VLOOKUP(DemandaEstrateg_[[#This Row],[Estado TI]],Tabla12[],3,FALSE)</f>
        <v>02. En Ejecución</v>
      </c>
      <c r="AU80" s="443" t="s">
        <v>793</v>
      </c>
      <c r="AV80" s="112">
        <f>'Portafolio P&amp;D'!B149</f>
        <v>0</v>
      </c>
    </row>
    <row r="81" spans="1:48" s="109" customFormat="1" ht="38.25">
      <c r="A81" s="298">
        <v>3124</v>
      </c>
      <c r="B81" s="299" t="s">
        <v>794</v>
      </c>
      <c r="C81" s="427">
        <v>2487</v>
      </c>
      <c r="D81" s="390" t="s">
        <v>554</v>
      </c>
      <c r="E81" s="300" t="s">
        <v>364</v>
      </c>
      <c r="F81" s="301" t="s">
        <v>795</v>
      </c>
      <c r="G81" s="301" t="s">
        <v>795</v>
      </c>
      <c r="H81" s="300" t="s">
        <v>113</v>
      </c>
      <c r="I81" s="428" t="s">
        <v>792</v>
      </c>
      <c r="J81" s="300"/>
      <c r="K81" s="302"/>
      <c r="L81" s="303"/>
      <c r="M81" s="304"/>
      <c r="N81" s="304" t="s">
        <v>382</v>
      </c>
      <c r="O81" s="305" t="s">
        <v>175</v>
      </c>
      <c r="P81" s="305" t="s">
        <v>175</v>
      </c>
      <c r="Q81" s="299" t="s">
        <v>381</v>
      </c>
      <c r="R81" s="299"/>
      <c r="S81" s="299"/>
      <c r="T81" s="377"/>
      <c r="U81" s="299">
        <f>'Portafolio P&amp;D'!Q151</f>
        <v>0</v>
      </c>
      <c r="V81" s="299">
        <f>'Portafolio P&amp;D'!R151</f>
        <v>0</v>
      </c>
      <c r="W81" s="378">
        <v>46003</v>
      </c>
      <c r="X81" s="378"/>
      <c r="Y81" s="431" t="s">
        <v>107</v>
      </c>
      <c r="Z81" s="303" t="s">
        <v>374</v>
      </c>
      <c r="AA81" s="162" t="s">
        <v>355</v>
      </c>
      <c r="AB81" s="427" t="s">
        <v>356</v>
      </c>
      <c r="AC81" s="388"/>
      <c r="AD81" s="299" t="s">
        <v>108</v>
      </c>
      <c r="AE81" s="388"/>
      <c r="AF81" s="306"/>
      <c r="AG81" s="307"/>
      <c r="AH81" s="380"/>
      <c r="AI81" s="381"/>
      <c r="AJ81" s="381"/>
      <c r="AK81" s="308"/>
      <c r="AL81" s="308"/>
      <c r="AM81" s="309" t="str">
        <f>IF(DemandaEstrateg_[[#This Row],[Tipo de Requerimiento]]="Proyecto",(DemandaEstrateg_[[#This Row],[% Avance ejecutado]]-DemandaEstrateg_[[#This Row],[% Avance Planificado]])/DemandaEstrateg_[[#This Row],[% Avance Planificado]],"No aplica")</f>
        <v>No aplica</v>
      </c>
      <c r="AN81" s="310" t="str">
        <f>IF(DemandaEstrateg_[[#This Row],[Tipo de Requerimiento]]="Proyecto",(DemandaEstrateg_[[#This Row],[% Avance ejecutado]]-DemandaEstrateg_[[#This Row],[% Avance Planificado]])/DemandaEstrateg_[[#This Row],[% Avance Planificado]],"No aplica")</f>
        <v>No aplica</v>
      </c>
      <c r="AO81" s="311"/>
      <c r="AP81" s="311" t="s">
        <v>175</v>
      </c>
      <c r="AQ81" s="311" t="s">
        <v>175</v>
      </c>
      <c r="AR81" s="311" t="s">
        <v>394</v>
      </c>
      <c r="AS81" s="390" t="s">
        <v>666</v>
      </c>
      <c r="AT81" s="391" t="str">
        <f>VLOOKUP(DemandaEstrateg_[[#This Row],[Estado TI]],Tabla12[],3,FALSE)</f>
        <v>01. No Iniciado</v>
      </c>
      <c r="AU81" s="312" t="s">
        <v>796</v>
      </c>
      <c r="AV81" s="112">
        <f>'Portafolio P&amp;D'!B151</f>
        <v>0</v>
      </c>
    </row>
    <row r="82" spans="1:48" s="109" customFormat="1" ht="71.25" customHeight="1">
      <c r="A82" s="298">
        <v>3142</v>
      </c>
      <c r="B82" s="299" t="s">
        <v>797</v>
      </c>
      <c r="C82" s="299">
        <v>2811</v>
      </c>
      <c r="D82" s="299"/>
      <c r="E82" s="300" t="s">
        <v>364</v>
      </c>
      <c r="F82" s="301" t="s">
        <v>798</v>
      </c>
      <c r="G82" s="301"/>
      <c r="H82" s="300" t="s">
        <v>34</v>
      </c>
      <c r="I82" s="300" t="s">
        <v>799</v>
      </c>
      <c r="J82" s="300"/>
      <c r="K82" s="302"/>
      <c r="L82" s="303">
        <v>46013</v>
      </c>
      <c r="M82" s="459" t="s">
        <v>800</v>
      </c>
      <c r="N82" s="304" t="s">
        <v>626</v>
      </c>
      <c r="O82" s="305" t="s">
        <v>175</v>
      </c>
      <c r="P82" s="305" t="s">
        <v>175</v>
      </c>
      <c r="Q82" s="299" t="s">
        <v>381</v>
      </c>
      <c r="R82" s="299"/>
      <c r="S82" s="299"/>
      <c r="T82" s="377"/>
      <c r="U82" s="299">
        <f>'Portafolio P&amp;D'!Q152</f>
        <v>0</v>
      </c>
      <c r="V82" s="299">
        <f>'Portafolio P&amp;D'!R152</f>
        <v>0</v>
      </c>
      <c r="W82" s="378"/>
      <c r="X82" s="378"/>
      <c r="Y82" s="303" t="s">
        <v>255</v>
      </c>
      <c r="Z82" s="303" t="s">
        <v>152</v>
      </c>
      <c r="AA82" s="304" t="s">
        <v>801</v>
      </c>
      <c r="AB82" s="427" t="s">
        <v>356</v>
      </c>
      <c r="AC82" s="299"/>
      <c r="AD82" s="299"/>
      <c r="AE82" s="299"/>
      <c r="AF82" s="306"/>
      <c r="AG82" s="307"/>
      <c r="AH82" s="380"/>
      <c r="AI82" s="381"/>
      <c r="AJ82" s="381"/>
      <c r="AK82" s="308"/>
      <c r="AL82" s="308"/>
      <c r="AM82" s="309" t="str">
        <f>IF(DemandaEstrateg_[[#This Row],[Tipo de Requerimiento]]="Proyecto",(DemandaEstrateg_[[#This Row],[% Avance ejecutado]]-DemandaEstrateg_[[#This Row],[% Avance Planificado]])/DemandaEstrateg_[[#This Row],[% Avance Planificado]],"No aplica")</f>
        <v>No aplica</v>
      </c>
      <c r="AN82" s="310" t="str">
        <f>IF(DemandaEstrateg_[[#This Row],[Tipo de Requerimiento]]="Proyecto",(DemandaEstrateg_[[#This Row],[% Avance ejecutado]]-DemandaEstrateg_[[#This Row],[% Avance Planificado]])/DemandaEstrateg_[[#This Row],[% Avance Planificado]],"No aplica")</f>
        <v>No aplica</v>
      </c>
      <c r="AO82" s="311"/>
      <c r="AP82" s="311"/>
      <c r="AQ82" s="311" t="s">
        <v>802</v>
      </c>
      <c r="AR82" s="311" t="s">
        <v>394</v>
      </c>
      <c r="AS82" s="390" t="s">
        <v>666</v>
      </c>
      <c r="AT82" s="391" t="str">
        <f>VLOOKUP(DemandaEstrateg_[[#This Row],[Estado TI]],Tabla12[],3,FALSE)</f>
        <v>01. No Iniciado</v>
      </c>
      <c r="AU82" s="458" t="s">
        <v>803</v>
      </c>
      <c r="AV82" s="112">
        <f>'Portafolio P&amp;D'!B152</f>
        <v>0</v>
      </c>
    </row>
    <row r="83" spans="1:48" s="109" customFormat="1" ht="45" customHeight="1">
      <c r="A83" s="298">
        <v>3151</v>
      </c>
      <c r="B83" s="299" t="s">
        <v>804</v>
      </c>
      <c r="C83" s="299">
        <v>2811</v>
      </c>
      <c r="D83" s="299"/>
      <c r="E83" s="300" t="s">
        <v>364</v>
      </c>
      <c r="F83" s="301" t="s">
        <v>805</v>
      </c>
      <c r="G83" s="301"/>
      <c r="H83" s="300" t="s">
        <v>128</v>
      </c>
      <c r="I83" s="300" t="s">
        <v>806</v>
      </c>
      <c r="J83" s="300"/>
      <c r="K83" s="302"/>
      <c r="L83" s="303">
        <v>45995</v>
      </c>
      <c r="M83" s="304" t="s">
        <v>807</v>
      </c>
      <c r="N83" s="299" t="s">
        <v>626</v>
      </c>
      <c r="O83" s="305" t="s">
        <v>438</v>
      </c>
      <c r="P83" s="305" t="s">
        <v>175</v>
      </c>
      <c r="Q83" s="299" t="s">
        <v>381</v>
      </c>
      <c r="R83" s="299"/>
      <c r="S83" s="299"/>
      <c r="T83" s="377"/>
      <c r="U83" s="299">
        <f>'Portafolio P&amp;D'!Q153</f>
        <v>0</v>
      </c>
      <c r="V83" s="299">
        <f>'Portafolio P&amp;D'!R153</f>
        <v>0</v>
      </c>
      <c r="W83" s="378"/>
      <c r="X83" s="378"/>
      <c r="Y83" s="303" t="s">
        <v>255</v>
      </c>
      <c r="Z83" s="303" t="s">
        <v>152</v>
      </c>
      <c r="AA83" s="304" t="s">
        <v>808</v>
      </c>
      <c r="AB83" s="427" t="s">
        <v>356</v>
      </c>
      <c r="AC83" s="299"/>
      <c r="AD83" s="299"/>
      <c r="AE83" s="299"/>
      <c r="AF83" s="306"/>
      <c r="AG83" s="307"/>
      <c r="AH83" s="380"/>
      <c r="AI83" s="381"/>
      <c r="AJ83" s="381"/>
      <c r="AK83" s="308"/>
      <c r="AL83" s="308"/>
      <c r="AM83" s="309" t="str">
        <f>IF(DemandaEstrateg_[[#This Row],[Tipo de Requerimiento]]="Proyecto",(DemandaEstrateg_[[#This Row],[% Avance ejecutado]]-DemandaEstrateg_[[#This Row],[% Avance Planificado]])/DemandaEstrateg_[[#This Row],[% Avance Planificado]],"No aplica")</f>
        <v>No aplica</v>
      </c>
      <c r="AN83" s="310" t="str">
        <f>IF(DemandaEstrateg_[[#This Row],[Tipo de Requerimiento]]="Proyecto",(DemandaEstrateg_[[#This Row],[% Avance ejecutado]]-DemandaEstrateg_[[#This Row],[% Avance Planificado]])/DemandaEstrateg_[[#This Row],[% Avance Planificado]],"No aplica")</f>
        <v>No aplica</v>
      </c>
      <c r="AO83" s="311"/>
      <c r="AP83" s="311"/>
      <c r="AQ83" s="311" t="s">
        <v>802</v>
      </c>
      <c r="AR83" s="311" t="s">
        <v>394</v>
      </c>
      <c r="AS83" s="390" t="s">
        <v>666</v>
      </c>
      <c r="AT83" s="391" t="str">
        <f>VLOOKUP(DemandaEstrateg_[[#This Row],[Estado TI]],Tabla12[],3,FALSE)</f>
        <v>01. No Iniciado</v>
      </c>
      <c r="AU83" s="458" t="s">
        <v>803</v>
      </c>
      <c r="AV83" s="112">
        <f>'Portafolio P&amp;D'!B153</f>
        <v>0</v>
      </c>
    </row>
    <row r="84" spans="1:48" s="109" customFormat="1" ht="53.25">
      <c r="A84" s="298">
        <v>3259</v>
      </c>
      <c r="B84" s="299" t="s">
        <v>809</v>
      </c>
      <c r="C84" s="159">
        <v>442</v>
      </c>
      <c r="D84" s="159" t="s">
        <v>810</v>
      </c>
      <c r="E84" s="300" t="s">
        <v>364</v>
      </c>
      <c r="F84" s="301" t="s">
        <v>811</v>
      </c>
      <c r="G84" s="301"/>
      <c r="H84" s="300" t="s">
        <v>113</v>
      </c>
      <c r="I84" s="300" t="s">
        <v>211</v>
      </c>
      <c r="J84" s="490" t="str">
        <f>'Portafolio P&amp;D'!$G$11</f>
        <v>Luis Garcia; 
Liliana Casafranca</v>
      </c>
      <c r="K84" s="491" t="s">
        <v>369</v>
      </c>
      <c r="L84" s="303">
        <v>46022</v>
      </c>
      <c r="M84" s="491" t="s">
        <v>370</v>
      </c>
      <c r="N84" s="299" t="s">
        <v>382</v>
      </c>
      <c r="O84" s="492" t="s">
        <v>349</v>
      </c>
      <c r="P84" s="492" t="s">
        <v>349</v>
      </c>
      <c r="Q84" s="299" t="s">
        <v>381</v>
      </c>
      <c r="R84" s="492" t="s">
        <v>382</v>
      </c>
      <c r="S84" s="492" t="s">
        <v>410</v>
      </c>
      <c r="T84" s="492" t="s">
        <v>410</v>
      </c>
      <c r="U84" s="492">
        <f>'Portafolio P&amp;D'!Q64</f>
        <v>0</v>
      </c>
      <c r="V84" s="492">
        <f>'Portafolio P&amp;D'!R64</f>
        <v>0</v>
      </c>
      <c r="W84" s="493" t="s">
        <v>175</v>
      </c>
      <c r="X84" s="494" t="s">
        <v>373</v>
      </c>
      <c r="Y84" s="495" t="s">
        <v>107</v>
      </c>
      <c r="Z84" s="496" t="s">
        <v>374</v>
      </c>
      <c r="AA84" s="497" t="s">
        <v>355</v>
      </c>
      <c r="AB84" s="299" t="s">
        <v>356</v>
      </c>
      <c r="AC84" s="492" t="s">
        <v>357</v>
      </c>
      <c r="AD84" s="492">
        <f>'Portafolio P&amp;D'!X64</f>
        <v>0</v>
      </c>
      <c r="AE84" s="492" t="s">
        <v>358</v>
      </c>
      <c r="AF84" s="154">
        <v>45162</v>
      </c>
      <c r="AG84" s="247">
        <v>45838</v>
      </c>
      <c r="AH84" s="505">
        <v>45162</v>
      </c>
      <c r="AI84" s="498">
        <v>45838</v>
      </c>
      <c r="AJ84" s="498"/>
      <c r="AK84" s="499" t="s">
        <v>373</v>
      </c>
      <c r="AL84" s="499" t="s">
        <v>373</v>
      </c>
      <c r="AM84" s="500" t="str">
        <f>IF(DemandaEstrateg_[[#This Row],[Tipo de Requerimiento]]="Proyecto",(DemandaEstrateg_[[#This Row],[% Avance ejecutado]]-DemandaEstrateg_[[#This Row],[% Avance Planificado]])/DemandaEstrateg_[[#This Row],[% Avance Planificado]],"No aplica")</f>
        <v>No aplica</v>
      </c>
      <c r="AN84" s="500" t="str">
        <f>IF(DemandaEstrateg_[[#This Row],[Tipo de Requerimiento]]="Proyecto",(DemandaEstrateg_[[#This Row],[% Avance ejecutado]]-DemandaEstrateg_[[#This Row],[% Avance Planificado]])/DemandaEstrateg_[[#This Row],[% Avance Planificado]],"No aplica")</f>
        <v>No aplica</v>
      </c>
      <c r="AO84" s="501"/>
      <c r="AP84" s="502">
        <v>46082</v>
      </c>
      <c r="AQ84" s="503" t="s">
        <v>359</v>
      </c>
      <c r="AR84" s="507" t="s">
        <v>386</v>
      </c>
      <c r="AS84" s="492" t="str">
        <f>VLOOKUP(DemandaEstrateg_[[#This Row],[Últ. Estado CQ 14.05]],Tabla36[[Estado CQ]:[Estado TI]],3,FALSE)</f>
        <v>03. En Desarrollo</v>
      </c>
      <c r="AT84" s="504" t="str">
        <f>VLOOKUP(DemandaEstrateg_[[#This Row],[Estado TI]],Tabla12[],3,FALSE)</f>
        <v>02. En Ejecución</v>
      </c>
      <c r="AU84" s="312" t="s">
        <v>812</v>
      </c>
      <c r="AV84" s="506" t="s">
        <v>175</v>
      </c>
    </row>
    <row r="85" spans="1:48" s="109" customFormat="1" ht="40.5">
      <c r="A85" s="510">
        <v>3277</v>
      </c>
      <c r="B85" s="427" t="s">
        <v>175</v>
      </c>
      <c r="C85" s="427" t="s">
        <v>175</v>
      </c>
      <c r="D85" s="427" t="s">
        <v>175</v>
      </c>
      <c r="E85" s="55" t="s">
        <v>347</v>
      </c>
      <c r="F85" s="508" t="s">
        <v>813</v>
      </c>
      <c r="G85" s="429"/>
      <c r="H85" s="428" t="s">
        <v>814</v>
      </c>
      <c r="I85" s="428" t="s">
        <v>815</v>
      </c>
      <c r="J85" s="428" t="s">
        <v>816</v>
      </c>
      <c r="K85" s="430"/>
      <c r="L85" s="512">
        <v>46141</v>
      </c>
      <c r="M85" s="513" t="s">
        <v>817</v>
      </c>
      <c r="N85" s="427" t="s">
        <v>382</v>
      </c>
      <c r="O85" s="427" t="s">
        <v>382</v>
      </c>
      <c r="P85" s="427" t="s">
        <v>382</v>
      </c>
      <c r="Q85" s="513" t="s">
        <v>97</v>
      </c>
      <c r="R85" s="427" t="s">
        <v>373</v>
      </c>
      <c r="S85" s="427" t="s">
        <v>373</v>
      </c>
      <c r="T85" s="427" t="s">
        <v>373</v>
      </c>
      <c r="U85" s="427">
        <v>2026</v>
      </c>
      <c r="V85" s="427">
        <v>2026</v>
      </c>
      <c r="W85" s="431"/>
      <c r="X85" s="431" t="s">
        <v>818</v>
      </c>
      <c r="Y85" s="431" t="s">
        <v>819</v>
      </c>
      <c r="Z85" s="55" t="s">
        <v>820</v>
      </c>
      <c r="AA85" s="432"/>
      <c r="AB85" s="427"/>
      <c r="AC85" s="427"/>
      <c r="AD85" s="427"/>
      <c r="AE85" s="427"/>
      <c r="AF85" s="435"/>
      <c r="AG85" s="436"/>
      <c r="AH85" s="151">
        <v>46042</v>
      </c>
      <c r="AI85" s="151">
        <v>46203</v>
      </c>
      <c r="AJ85" s="514"/>
      <c r="AK85" s="515"/>
      <c r="AL85" s="515"/>
      <c r="AM85" s="440" t="e">
        <f>IF(DemandaEstrateg_[[#This Row],[Tipo de Requerimiento]]="Proyecto",(DemandaEstrateg_[[#This Row],[% Avance ejecutado]]-DemandaEstrateg_[[#This Row],[% Avance Planificado]])/DemandaEstrateg_[[#This Row],[% Avance Planificado]],"No aplica")</f>
        <v>#DIV/0!</v>
      </c>
      <c r="AN85" s="441" t="e">
        <f>IF(DemandaEstrateg_[[#This Row],[Tipo de Requerimiento]]="Proyecto",(DemandaEstrateg_[[#This Row],[% Avance ejecutado]]-DemandaEstrateg_[[#This Row],[% Avance Planificado]])/DemandaEstrateg_[[#This Row],[% Avance Planificado]],"No aplica")</f>
        <v>#DIV/0!</v>
      </c>
      <c r="AO85" s="191"/>
      <c r="AP85" s="191"/>
      <c r="AQ85" s="191"/>
      <c r="AR85" s="191"/>
      <c r="AS85" s="442" t="e">
        <f>VLOOKUP(DemandaEstrateg_[[#This Row],[Últ. Estado CQ 14.05]],Tabla36[[Estado CQ]:[Estado TI]],3,FALSE)</f>
        <v>#N/A</v>
      </c>
      <c r="AT85" s="385" t="s">
        <v>767</v>
      </c>
      <c r="AU85" s="458" t="s">
        <v>821</v>
      </c>
      <c r="AV85" s="214" t="s">
        <v>822</v>
      </c>
    </row>
    <row r="86" spans="1:48" s="109" customFormat="1" ht="40.5">
      <c r="A86" s="510">
        <v>3278</v>
      </c>
      <c r="B86" s="427" t="s">
        <v>175</v>
      </c>
      <c r="C86" s="427" t="s">
        <v>175</v>
      </c>
      <c r="D86" s="427" t="s">
        <v>175</v>
      </c>
      <c r="E86" s="55" t="s">
        <v>347</v>
      </c>
      <c r="F86" s="508" t="s">
        <v>823</v>
      </c>
      <c r="G86" s="429"/>
      <c r="H86" s="428" t="s">
        <v>814</v>
      </c>
      <c r="I86" s="428" t="s">
        <v>815</v>
      </c>
      <c r="J86" s="428" t="s">
        <v>816</v>
      </c>
      <c r="K86" s="430"/>
      <c r="L86" s="512">
        <v>46141</v>
      </c>
      <c r="M86" s="513" t="s">
        <v>824</v>
      </c>
      <c r="N86" s="427" t="s">
        <v>382</v>
      </c>
      <c r="O86" s="427" t="s">
        <v>382</v>
      </c>
      <c r="P86" s="427" t="s">
        <v>382</v>
      </c>
      <c r="Q86" s="513" t="s">
        <v>97</v>
      </c>
      <c r="R86" s="427" t="s">
        <v>373</v>
      </c>
      <c r="S86" s="427" t="s">
        <v>373</v>
      </c>
      <c r="T86" s="427" t="s">
        <v>373</v>
      </c>
      <c r="U86" s="427">
        <v>2027</v>
      </c>
      <c r="V86" s="427">
        <v>2027</v>
      </c>
      <c r="W86" s="431"/>
      <c r="X86" s="431" t="s">
        <v>818</v>
      </c>
      <c r="Y86" s="431" t="s">
        <v>819</v>
      </c>
      <c r="Z86" s="55" t="s">
        <v>820</v>
      </c>
      <c r="AA86" s="432"/>
      <c r="AB86" s="427"/>
      <c r="AC86" s="427"/>
      <c r="AD86" s="427"/>
      <c r="AE86" s="427"/>
      <c r="AF86" s="435"/>
      <c r="AG86" s="436"/>
      <c r="AH86" s="151">
        <v>46448</v>
      </c>
      <c r="AI86" s="151">
        <v>46553</v>
      </c>
      <c r="AJ86" s="514"/>
      <c r="AK86" s="515"/>
      <c r="AL86" s="515"/>
      <c r="AM86" s="440" t="e">
        <f>IF(DemandaEstrateg_[[#This Row],[Tipo de Requerimiento]]="Proyecto",(DemandaEstrateg_[[#This Row],[% Avance ejecutado]]-DemandaEstrateg_[[#This Row],[% Avance Planificado]])/DemandaEstrateg_[[#This Row],[% Avance Planificado]],"No aplica")</f>
        <v>#DIV/0!</v>
      </c>
      <c r="AN86" s="441" t="e">
        <f>IF(DemandaEstrateg_[[#This Row],[Tipo de Requerimiento]]="Proyecto",(DemandaEstrateg_[[#This Row],[% Avance ejecutado]]-DemandaEstrateg_[[#This Row],[% Avance Planificado]])/DemandaEstrateg_[[#This Row],[% Avance Planificado]],"No aplica")</f>
        <v>#DIV/0!</v>
      </c>
      <c r="AO86" s="191"/>
      <c r="AP86" s="191"/>
      <c r="AQ86" s="191"/>
      <c r="AR86" s="191"/>
      <c r="AS86" s="442" t="e">
        <f>VLOOKUP(DemandaEstrateg_[[#This Row],[Últ. Estado CQ 14.05]],Tabla36[[Estado CQ]:[Estado TI]],3,FALSE)</f>
        <v>#N/A</v>
      </c>
      <c r="AT86" s="385" t="s">
        <v>297</v>
      </c>
      <c r="AU86" s="458" t="s">
        <v>821</v>
      </c>
      <c r="AV86" s="214" t="s">
        <v>822</v>
      </c>
    </row>
    <row r="87" spans="1:48" s="109" customFormat="1" ht="40.5">
      <c r="A87" s="510">
        <v>3279</v>
      </c>
      <c r="B87" s="427" t="s">
        <v>175</v>
      </c>
      <c r="C87" s="427" t="s">
        <v>175</v>
      </c>
      <c r="D87" s="427" t="s">
        <v>175</v>
      </c>
      <c r="E87" s="55" t="s">
        <v>347</v>
      </c>
      <c r="F87" s="508" t="s">
        <v>825</v>
      </c>
      <c r="G87" s="429"/>
      <c r="H87" s="428" t="s">
        <v>814</v>
      </c>
      <c r="I87" s="428" t="s">
        <v>815</v>
      </c>
      <c r="J87" s="428" t="s">
        <v>816</v>
      </c>
      <c r="K87" s="430"/>
      <c r="L87" s="512">
        <v>46141</v>
      </c>
      <c r="M87" s="513" t="s">
        <v>826</v>
      </c>
      <c r="N87" s="427" t="s">
        <v>382</v>
      </c>
      <c r="O87" s="427" t="s">
        <v>382</v>
      </c>
      <c r="P87" s="427" t="s">
        <v>382</v>
      </c>
      <c r="Q87" s="513" t="s">
        <v>97</v>
      </c>
      <c r="R87" s="427" t="s">
        <v>373</v>
      </c>
      <c r="S87" s="427" t="s">
        <v>373</v>
      </c>
      <c r="T87" s="427" t="s">
        <v>373</v>
      </c>
      <c r="U87" s="427">
        <v>2026</v>
      </c>
      <c r="V87" s="427">
        <v>2026</v>
      </c>
      <c r="W87" s="431"/>
      <c r="X87" s="431" t="s">
        <v>818</v>
      </c>
      <c r="Y87" s="431" t="s">
        <v>819</v>
      </c>
      <c r="Z87" s="55" t="s">
        <v>820</v>
      </c>
      <c r="AA87" s="432"/>
      <c r="AB87" s="427"/>
      <c r="AC87" s="427"/>
      <c r="AD87" s="427"/>
      <c r="AE87" s="427"/>
      <c r="AF87" s="435"/>
      <c r="AG87" s="436"/>
      <c r="AH87" s="151">
        <v>46149</v>
      </c>
      <c r="AI87" s="151">
        <v>46317</v>
      </c>
      <c r="AJ87" s="514"/>
      <c r="AK87" s="515"/>
      <c r="AL87" s="515"/>
      <c r="AM87" s="440" t="e">
        <f>IF(DemandaEstrateg_[[#This Row],[Tipo de Requerimiento]]="Proyecto",(DemandaEstrateg_[[#This Row],[% Avance ejecutado]]-DemandaEstrateg_[[#This Row],[% Avance Planificado]])/DemandaEstrateg_[[#This Row],[% Avance Planificado]],"No aplica")</f>
        <v>#DIV/0!</v>
      </c>
      <c r="AN87" s="441" t="e">
        <f>IF(DemandaEstrateg_[[#This Row],[Tipo de Requerimiento]]="Proyecto",(DemandaEstrateg_[[#This Row],[% Avance ejecutado]]-DemandaEstrateg_[[#This Row],[% Avance Planificado]])/DemandaEstrateg_[[#This Row],[% Avance Planificado]],"No aplica")</f>
        <v>#DIV/0!</v>
      </c>
      <c r="AO87" s="191"/>
      <c r="AP87" s="191"/>
      <c r="AQ87" s="191"/>
      <c r="AR87" s="191"/>
      <c r="AS87" s="442" t="e">
        <f>VLOOKUP(DemandaEstrateg_[[#This Row],[Últ. Estado CQ 14.05]],Tabla36[[Estado CQ]:[Estado TI]],3,FALSE)</f>
        <v>#N/A</v>
      </c>
      <c r="AT87" s="385" t="s">
        <v>297</v>
      </c>
      <c r="AU87" s="458" t="s">
        <v>821</v>
      </c>
      <c r="AV87" s="214" t="s">
        <v>822</v>
      </c>
    </row>
    <row r="88" spans="1:48" s="109" customFormat="1" ht="40.5">
      <c r="A88" s="510">
        <v>3280</v>
      </c>
      <c r="B88" s="427" t="s">
        <v>175</v>
      </c>
      <c r="C88" s="427" t="s">
        <v>175</v>
      </c>
      <c r="D88" s="427" t="s">
        <v>175</v>
      </c>
      <c r="E88" s="55" t="s">
        <v>347</v>
      </c>
      <c r="F88" s="508" t="s">
        <v>827</v>
      </c>
      <c r="G88" s="429"/>
      <c r="H88" s="428" t="s">
        <v>814</v>
      </c>
      <c r="I88" s="428" t="s">
        <v>815</v>
      </c>
      <c r="J88" s="428" t="s">
        <v>816</v>
      </c>
      <c r="K88" s="430"/>
      <c r="L88" s="512">
        <v>46141</v>
      </c>
      <c r="M88" s="513" t="s">
        <v>828</v>
      </c>
      <c r="N88" s="427" t="s">
        <v>382</v>
      </c>
      <c r="O88" s="427" t="s">
        <v>382</v>
      </c>
      <c r="P88" s="427" t="s">
        <v>382</v>
      </c>
      <c r="Q88" s="513" t="s">
        <v>97</v>
      </c>
      <c r="R88" s="427" t="s">
        <v>373</v>
      </c>
      <c r="S88" s="427" t="s">
        <v>373</v>
      </c>
      <c r="T88" s="427" t="s">
        <v>373</v>
      </c>
      <c r="U88" s="427">
        <v>2026</v>
      </c>
      <c r="V88" s="427">
        <v>2027</v>
      </c>
      <c r="W88" s="431"/>
      <c r="X88" s="431" t="s">
        <v>818</v>
      </c>
      <c r="Y88" s="431" t="s">
        <v>819</v>
      </c>
      <c r="Z88" s="55" t="s">
        <v>820</v>
      </c>
      <c r="AA88" s="432"/>
      <c r="AB88" s="427"/>
      <c r="AC88" s="427"/>
      <c r="AD88" s="427"/>
      <c r="AE88" s="427"/>
      <c r="AF88" s="435"/>
      <c r="AG88" s="436"/>
      <c r="AH88" s="151">
        <v>46323</v>
      </c>
      <c r="AI88" s="151">
        <v>46540</v>
      </c>
      <c r="AJ88" s="514"/>
      <c r="AK88" s="515"/>
      <c r="AL88" s="515"/>
      <c r="AM88" s="440" t="e">
        <f>IF(DemandaEstrateg_[[#This Row],[Tipo de Requerimiento]]="Proyecto",(DemandaEstrateg_[[#This Row],[% Avance ejecutado]]-DemandaEstrateg_[[#This Row],[% Avance Planificado]])/DemandaEstrateg_[[#This Row],[% Avance Planificado]],"No aplica")</f>
        <v>#DIV/0!</v>
      </c>
      <c r="AN88" s="441" t="e">
        <f>IF(DemandaEstrateg_[[#This Row],[Tipo de Requerimiento]]="Proyecto",(DemandaEstrateg_[[#This Row],[% Avance ejecutado]]-DemandaEstrateg_[[#This Row],[% Avance Planificado]])/DemandaEstrateg_[[#This Row],[% Avance Planificado]],"No aplica")</f>
        <v>#DIV/0!</v>
      </c>
      <c r="AO88" s="191"/>
      <c r="AP88" s="191"/>
      <c r="AQ88" s="191"/>
      <c r="AR88" s="191"/>
      <c r="AS88" s="442" t="e">
        <f>VLOOKUP(DemandaEstrateg_[[#This Row],[Últ. Estado CQ 14.05]],Tabla36[[Estado CQ]:[Estado TI]],3,FALSE)</f>
        <v>#N/A</v>
      </c>
      <c r="AT88" s="385" t="s">
        <v>297</v>
      </c>
      <c r="AU88" s="458" t="s">
        <v>821</v>
      </c>
      <c r="AV88" s="214" t="s">
        <v>822</v>
      </c>
    </row>
    <row r="89" spans="1:48" s="109" customFormat="1" ht="40.5">
      <c r="A89" s="510">
        <v>3281</v>
      </c>
      <c r="B89" s="427" t="s">
        <v>175</v>
      </c>
      <c r="C89" s="427" t="s">
        <v>175</v>
      </c>
      <c r="D89" s="427" t="s">
        <v>175</v>
      </c>
      <c r="E89" s="55" t="s">
        <v>347</v>
      </c>
      <c r="F89" s="508" t="s">
        <v>829</v>
      </c>
      <c r="G89" s="429"/>
      <c r="H89" s="428" t="s">
        <v>814</v>
      </c>
      <c r="I89" s="428" t="s">
        <v>815</v>
      </c>
      <c r="J89" s="428" t="s">
        <v>816</v>
      </c>
      <c r="K89" s="430"/>
      <c r="L89" s="512">
        <v>46141</v>
      </c>
      <c r="M89" s="513" t="s">
        <v>830</v>
      </c>
      <c r="N89" s="427" t="s">
        <v>382</v>
      </c>
      <c r="O89" s="427" t="s">
        <v>382</v>
      </c>
      <c r="P89" s="427" t="s">
        <v>382</v>
      </c>
      <c r="Q89" s="513" t="s">
        <v>97</v>
      </c>
      <c r="R89" s="427" t="s">
        <v>373</v>
      </c>
      <c r="S89" s="427" t="s">
        <v>373</v>
      </c>
      <c r="T89" s="427" t="s">
        <v>373</v>
      </c>
      <c r="U89" s="427">
        <v>2026</v>
      </c>
      <c r="V89" s="427">
        <v>2030</v>
      </c>
      <c r="W89" s="431"/>
      <c r="X89" s="431" t="s">
        <v>818</v>
      </c>
      <c r="Y89" s="431" t="s">
        <v>819</v>
      </c>
      <c r="Z89" s="55" t="s">
        <v>820</v>
      </c>
      <c r="AA89" s="432"/>
      <c r="AB89" s="427"/>
      <c r="AC89" s="427"/>
      <c r="AD89" s="427"/>
      <c r="AE89" s="427"/>
      <c r="AF89" s="435"/>
      <c r="AG89" s="436"/>
      <c r="AH89" s="151">
        <v>46220</v>
      </c>
      <c r="AI89" s="151">
        <v>47568</v>
      </c>
      <c r="AJ89" s="514"/>
      <c r="AK89" s="515"/>
      <c r="AL89" s="515"/>
      <c r="AM89" s="440" t="e">
        <f>IF(DemandaEstrateg_[[#This Row],[Tipo de Requerimiento]]="Proyecto",(DemandaEstrateg_[[#This Row],[% Avance ejecutado]]-DemandaEstrateg_[[#This Row],[% Avance Planificado]])/DemandaEstrateg_[[#This Row],[% Avance Planificado]],"No aplica")</f>
        <v>#DIV/0!</v>
      </c>
      <c r="AN89" s="441" t="e">
        <f>IF(DemandaEstrateg_[[#This Row],[Tipo de Requerimiento]]="Proyecto",(DemandaEstrateg_[[#This Row],[% Avance ejecutado]]-DemandaEstrateg_[[#This Row],[% Avance Planificado]])/DemandaEstrateg_[[#This Row],[% Avance Planificado]],"No aplica")</f>
        <v>#DIV/0!</v>
      </c>
      <c r="AO89" s="191"/>
      <c r="AP89" s="191"/>
      <c r="AQ89" s="191"/>
      <c r="AR89" s="191"/>
      <c r="AS89" s="442" t="e">
        <f>VLOOKUP(DemandaEstrateg_[[#This Row],[Últ. Estado CQ 14.05]],Tabla36[[Estado CQ]:[Estado TI]],3,FALSE)</f>
        <v>#N/A</v>
      </c>
      <c r="AT89" s="385" t="s">
        <v>297</v>
      </c>
      <c r="AU89" s="458" t="s">
        <v>821</v>
      </c>
      <c r="AV89" s="214" t="s">
        <v>822</v>
      </c>
    </row>
    <row r="90" spans="1:48" s="109" customFormat="1" ht="40.5">
      <c r="A90" s="510">
        <v>3282</v>
      </c>
      <c r="B90" s="427" t="s">
        <v>175</v>
      </c>
      <c r="C90" s="427" t="s">
        <v>175</v>
      </c>
      <c r="D90" s="427" t="s">
        <v>175</v>
      </c>
      <c r="E90" s="55" t="s">
        <v>347</v>
      </c>
      <c r="F90" s="508" t="s">
        <v>831</v>
      </c>
      <c r="G90" s="429"/>
      <c r="H90" s="428" t="s">
        <v>814</v>
      </c>
      <c r="I90" s="428" t="s">
        <v>815</v>
      </c>
      <c r="J90" s="428" t="s">
        <v>816</v>
      </c>
      <c r="K90" s="430"/>
      <c r="L90" s="512">
        <v>46141</v>
      </c>
      <c r="M90" s="513" t="s">
        <v>832</v>
      </c>
      <c r="N90" s="427" t="s">
        <v>382</v>
      </c>
      <c r="O90" s="427" t="s">
        <v>382</v>
      </c>
      <c r="P90" s="427" t="s">
        <v>382</v>
      </c>
      <c r="Q90" s="513" t="s">
        <v>97</v>
      </c>
      <c r="R90" s="427" t="s">
        <v>373</v>
      </c>
      <c r="S90" s="427" t="s">
        <v>373</v>
      </c>
      <c r="T90" s="427" t="s">
        <v>373</v>
      </c>
      <c r="U90" s="427">
        <v>2027</v>
      </c>
      <c r="V90" s="427">
        <v>2030</v>
      </c>
      <c r="W90" s="431"/>
      <c r="X90" s="431" t="s">
        <v>818</v>
      </c>
      <c r="Y90" s="431" t="s">
        <v>819</v>
      </c>
      <c r="Z90" s="55" t="s">
        <v>820</v>
      </c>
      <c r="AA90" s="432"/>
      <c r="AB90" s="427"/>
      <c r="AC90" s="427"/>
      <c r="AD90" s="427"/>
      <c r="AE90" s="427"/>
      <c r="AF90" s="435"/>
      <c r="AG90" s="436"/>
      <c r="AH90" s="151">
        <v>46541</v>
      </c>
      <c r="AI90" s="151">
        <v>47568</v>
      </c>
      <c r="AJ90" s="514"/>
      <c r="AK90" s="515"/>
      <c r="AL90" s="515"/>
      <c r="AM90" s="440" t="e">
        <f>IF(DemandaEstrateg_[[#This Row],[Tipo de Requerimiento]]="Proyecto",(DemandaEstrateg_[[#This Row],[% Avance ejecutado]]-DemandaEstrateg_[[#This Row],[% Avance Planificado]])/DemandaEstrateg_[[#This Row],[% Avance Planificado]],"No aplica")</f>
        <v>#DIV/0!</v>
      </c>
      <c r="AN90" s="441" t="e">
        <f>IF(DemandaEstrateg_[[#This Row],[Tipo de Requerimiento]]="Proyecto",(DemandaEstrateg_[[#This Row],[% Avance ejecutado]]-DemandaEstrateg_[[#This Row],[% Avance Planificado]])/DemandaEstrateg_[[#This Row],[% Avance Planificado]],"No aplica")</f>
        <v>#DIV/0!</v>
      </c>
      <c r="AO90" s="191"/>
      <c r="AP90" s="191"/>
      <c r="AQ90" s="191"/>
      <c r="AR90" s="191"/>
      <c r="AS90" s="442" t="e">
        <f>VLOOKUP(DemandaEstrateg_[[#This Row],[Últ. Estado CQ 14.05]],Tabla36[[Estado CQ]:[Estado TI]],3,FALSE)</f>
        <v>#N/A</v>
      </c>
      <c r="AT90" s="385" t="s">
        <v>297</v>
      </c>
      <c r="AU90" s="458" t="s">
        <v>821</v>
      </c>
      <c r="AV90" s="214" t="s">
        <v>822</v>
      </c>
    </row>
    <row r="91" spans="1:48" s="109" customFormat="1" ht="53.25">
      <c r="A91" s="510">
        <v>3283</v>
      </c>
      <c r="B91" s="427" t="s">
        <v>175</v>
      </c>
      <c r="C91" s="427" t="s">
        <v>175</v>
      </c>
      <c r="D91" s="427" t="s">
        <v>175</v>
      </c>
      <c r="E91" s="55" t="s">
        <v>347</v>
      </c>
      <c r="F91" s="508" t="s">
        <v>833</v>
      </c>
      <c r="G91" s="429"/>
      <c r="H91" s="428" t="s">
        <v>814</v>
      </c>
      <c r="I91" s="428" t="s">
        <v>815</v>
      </c>
      <c r="J91" s="428" t="s">
        <v>816</v>
      </c>
      <c r="K91" s="430"/>
      <c r="L91" s="512">
        <v>46141</v>
      </c>
      <c r="M91" s="513" t="s">
        <v>834</v>
      </c>
      <c r="N91" s="427" t="s">
        <v>382</v>
      </c>
      <c r="O91" s="427" t="s">
        <v>382</v>
      </c>
      <c r="P91" s="427" t="s">
        <v>382</v>
      </c>
      <c r="Q91" s="513" t="s">
        <v>97</v>
      </c>
      <c r="R91" s="427" t="s">
        <v>373</v>
      </c>
      <c r="S91" s="427" t="s">
        <v>373</v>
      </c>
      <c r="T91" s="427" t="s">
        <v>373</v>
      </c>
      <c r="U91" s="427">
        <v>2027</v>
      </c>
      <c r="V91" s="427">
        <v>2030</v>
      </c>
      <c r="W91" s="431"/>
      <c r="X91" s="431" t="s">
        <v>818</v>
      </c>
      <c r="Y91" s="431" t="s">
        <v>819</v>
      </c>
      <c r="Z91" s="55" t="s">
        <v>820</v>
      </c>
      <c r="AA91" s="432"/>
      <c r="AB91" s="427"/>
      <c r="AC91" s="427"/>
      <c r="AD91" s="427"/>
      <c r="AE91" s="427"/>
      <c r="AF91" s="435"/>
      <c r="AG91" s="436"/>
      <c r="AH91" s="151">
        <v>46496</v>
      </c>
      <c r="AI91" s="151">
        <v>47568</v>
      </c>
      <c r="AJ91" s="514"/>
      <c r="AK91" s="515"/>
      <c r="AL91" s="515"/>
      <c r="AM91" s="440" t="e">
        <f>IF(DemandaEstrateg_[[#This Row],[Tipo de Requerimiento]]="Proyecto",(DemandaEstrateg_[[#This Row],[% Avance ejecutado]]-DemandaEstrateg_[[#This Row],[% Avance Planificado]])/DemandaEstrateg_[[#This Row],[% Avance Planificado]],"No aplica")</f>
        <v>#DIV/0!</v>
      </c>
      <c r="AN91" s="441" t="e">
        <f>IF(DemandaEstrateg_[[#This Row],[Tipo de Requerimiento]]="Proyecto",(DemandaEstrateg_[[#This Row],[% Avance ejecutado]]-DemandaEstrateg_[[#This Row],[% Avance Planificado]])/DemandaEstrateg_[[#This Row],[% Avance Planificado]],"No aplica")</f>
        <v>#DIV/0!</v>
      </c>
      <c r="AO91" s="191"/>
      <c r="AP91" s="191"/>
      <c r="AQ91" s="191"/>
      <c r="AR91" s="191"/>
      <c r="AS91" s="442" t="e">
        <f>VLOOKUP(DemandaEstrateg_[[#This Row],[Últ. Estado CQ 14.05]],Tabla36[[Estado CQ]:[Estado TI]],3,FALSE)</f>
        <v>#N/A</v>
      </c>
      <c r="AT91" s="385" t="s">
        <v>297</v>
      </c>
      <c r="AU91" s="458" t="s">
        <v>821</v>
      </c>
      <c r="AV91" s="214" t="s">
        <v>822</v>
      </c>
    </row>
    <row r="92" spans="1:48" s="109" customFormat="1" ht="40.5">
      <c r="A92" s="510">
        <v>3284</v>
      </c>
      <c r="B92" s="427" t="s">
        <v>175</v>
      </c>
      <c r="C92" s="427" t="s">
        <v>175</v>
      </c>
      <c r="D92" s="427" t="s">
        <v>175</v>
      </c>
      <c r="E92" s="55" t="s">
        <v>347</v>
      </c>
      <c r="F92" s="508" t="s">
        <v>835</v>
      </c>
      <c r="G92" s="429"/>
      <c r="H92" s="428" t="s">
        <v>814</v>
      </c>
      <c r="I92" s="428" t="s">
        <v>815</v>
      </c>
      <c r="J92" s="428" t="s">
        <v>816</v>
      </c>
      <c r="K92" s="430"/>
      <c r="L92" s="512">
        <v>46141</v>
      </c>
      <c r="M92" s="513" t="s">
        <v>836</v>
      </c>
      <c r="N92" s="427" t="s">
        <v>382</v>
      </c>
      <c r="O92" s="427" t="s">
        <v>382</v>
      </c>
      <c r="P92" s="427" t="s">
        <v>382</v>
      </c>
      <c r="Q92" s="513" t="s">
        <v>97</v>
      </c>
      <c r="R92" s="427" t="s">
        <v>373</v>
      </c>
      <c r="S92" s="427" t="s">
        <v>373</v>
      </c>
      <c r="T92" s="427" t="s">
        <v>373</v>
      </c>
      <c r="U92" s="427">
        <v>2027</v>
      </c>
      <c r="V92" s="427">
        <v>2027</v>
      </c>
      <c r="W92" s="431"/>
      <c r="X92" s="431" t="s">
        <v>818</v>
      </c>
      <c r="Y92" s="431" t="s">
        <v>819</v>
      </c>
      <c r="Z92" s="55" t="s">
        <v>820</v>
      </c>
      <c r="AA92" s="432"/>
      <c r="AB92" s="427"/>
      <c r="AC92" s="427"/>
      <c r="AD92" s="427"/>
      <c r="AE92" s="427"/>
      <c r="AF92" s="435"/>
      <c r="AG92" s="436"/>
      <c r="AH92" s="151">
        <v>46496</v>
      </c>
      <c r="AI92" s="151">
        <v>46685</v>
      </c>
      <c r="AJ92" s="514"/>
      <c r="AK92" s="515"/>
      <c r="AL92" s="515"/>
      <c r="AM92" s="440" t="e">
        <f>IF(DemandaEstrateg_[[#This Row],[Tipo de Requerimiento]]="Proyecto",(DemandaEstrateg_[[#This Row],[% Avance ejecutado]]-DemandaEstrateg_[[#This Row],[% Avance Planificado]])/DemandaEstrateg_[[#This Row],[% Avance Planificado]],"No aplica")</f>
        <v>#DIV/0!</v>
      </c>
      <c r="AN92" s="441" t="e">
        <f>IF(DemandaEstrateg_[[#This Row],[Tipo de Requerimiento]]="Proyecto",(DemandaEstrateg_[[#This Row],[% Avance ejecutado]]-DemandaEstrateg_[[#This Row],[% Avance Planificado]])/DemandaEstrateg_[[#This Row],[% Avance Planificado]],"No aplica")</f>
        <v>#DIV/0!</v>
      </c>
      <c r="AO92" s="191"/>
      <c r="AP92" s="191"/>
      <c r="AQ92" s="191"/>
      <c r="AR92" s="191"/>
      <c r="AS92" s="442" t="e">
        <f>VLOOKUP(DemandaEstrateg_[[#This Row],[Últ. Estado CQ 14.05]],Tabla36[[Estado CQ]:[Estado TI]],3,FALSE)</f>
        <v>#N/A</v>
      </c>
      <c r="AT92" s="385" t="s">
        <v>297</v>
      </c>
      <c r="AU92" s="458" t="s">
        <v>821</v>
      </c>
      <c r="AV92" s="214" t="s">
        <v>822</v>
      </c>
    </row>
    <row r="93" spans="1:48" s="109" customFormat="1" ht="40.5">
      <c r="A93" s="510">
        <v>3285</v>
      </c>
      <c r="B93" s="427" t="s">
        <v>175</v>
      </c>
      <c r="C93" s="427" t="s">
        <v>175</v>
      </c>
      <c r="D93" s="427" t="s">
        <v>175</v>
      </c>
      <c r="E93" s="55" t="s">
        <v>347</v>
      </c>
      <c r="F93" s="508" t="s">
        <v>837</v>
      </c>
      <c r="G93" s="429"/>
      <c r="H93" s="428" t="s">
        <v>814</v>
      </c>
      <c r="I93" s="428" t="s">
        <v>815</v>
      </c>
      <c r="J93" s="428" t="s">
        <v>816</v>
      </c>
      <c r="K93" s="430"/>
      <c r="L93" s="512">
        <v>46141</v>
      </c>
      <c r="M93" s="513" t="s">
        <v>838</v>
      </c>
      <c r="N93" s="427" t="s">
        <v>382</v>
      </c>
      <c r="O93" s="427" t="s">
        <v>382</v>
      </c>
      <c r="P93" s="427" t="s">
        <v>382</v>
      </c>
      <c r="Q93" s="513" t="s">
        <v>97</v>
      </c>
      <c r="R93" s="427" t="s">
        <v>373</v>
      </c>
      <c r="S93" s="427" t="s">
        <v>373</v>
      </c>
      <c r="T93" s="427" t="s">
        <v>373</v>
      </c>
      <c r="U93" s="427">
        <v>2029</v>
      </c>
      <c r="V93" s="427">
        <v>2030</v>
      </c>
      <c r="W93" s="431"/>
      <c r="X93" s="431" t="s">
        <v>818</v>
      </c>
      <c r="Y93" s="431" t="s">
        <v>819</v>
      </c>
      <c r="Z93" s="55" t="s">
        <v>820</v>
      </c>
      <c r="AA93" s="432"/>
      <c r="AB93" s="427"/>
      <c r="AC93" s="427"/>
      <c r="AD93" s="427"/>
      <c r="AE93" s="427"/>
      <c r="AF93" s="435"/>
      <c r="AG93" s="436"/>
      <c r="AH93" s="151">
        <v>47149</v>
      </c>
      <c r="AI93" s="151">
        <v>47513</v>
      </c>
      <c r="AJ93" s="514"/>
      <c r="AK93" s="515"/>
      <c r="AL93" s="515"/>
      <c r="AM93" s="440" t="e">
        <f>IF(DemandaEstrateg_[[#This Row],[Tipo de Requerimiento]]="Proyecto",(DemandaEstrateg_[[#This Row],[% Avance ejecutado]]-DemandaEstrateg_[[#This Row],[% Avance Planificado]])/DemandaEstrateg_[[#This Row],[% Avance Planificado]],"No aplica")</f>
        <v>#DIV/0!</v>
      </c>
      <c r="AN93" s="441" t="e">
        <f>IF(DemandaEstrateg_[[#This Row],[Tipo de Requerimiento]]="Proyecto",(DemandaEstrateg_[[#This Row],[% Avance ejecutado]]-DemandaEstrateg_[[#This Row],[% Avance Planificado]])/DemandaEstrateg_[[#This Row],[% Avance Planificado]],"No aplica")</f>
        <v>#DIV/0!</v>
      </c>
      <c r="AO93" s="191"/>
      <c r="AP93" s="191"/>
      <c r="AQ93" s="191"/>
      <c r="AR93" s="191"/>
      <c r="AS93" s="442" t="e">
        <f>VLOOKUP(DemandaEstrateg_[[#This Row],[Últ. Estado CQ 14.05]],Tabla36[[Estado CQ]:[Estado TI]],3,FALSE)</f>
        <v>#N/A</v>
      </c>
      <c r="AT93" s="385" t="s">
        <v>297</v>
      </c>
      <c r="AU93" s="458" t="s">
        <v>821</v>
      </c>
      <c r="AV93" s="214" t="s">
        <v>822</v>
      </c>
    </row>
    <row r="94" spans="1:48" s="109" customFormat="1" ht="40.5">
      <c r="A94" s="510">
        <v>3286</v>
      </c>
      <c r="B94" s="427" t="s">
        <v>175</v>
      </c>
      <c r="C94" s="427" t="s">
        <v>175</v>
      </c>
      <c r="D94" s="427" t="s">
        <v>175</v>
      </c>
      <c r="E94" s="55" t="s">
        <v>347</v>
      </c>
      <c r="F94" s="508" t="s">
        <v>839</v>
      </c>
      <c r="G94" s="429"/>
      <c r="H94" s="428" t="s">
        <v>814</v>
      </c>
      <c r="I94" s="428" t="s">
        <v>815</v>
      </c>
      <c r="J94" s="428" t="s">
        <v>816</v>
      </c>
      <c r="K94" s="430"/>
      <c r="L94" s="512">
        <v>46141</v>
      </c>
      <c r="M94" s="513" t="s">
        <v>840</v>
      </c>
      <c r="N94" s="427" t="s">
        <v>382</v>
      </c>
      <c r="O94" s="427" t="s">
        <v>382</v>
      </c>
      <c r="P94" s="427" t="s">
        <v>382</v>
      </c>
      <c r="Q94" s="513" t="s">
        <v>97</v>
      </c>
      <c r="R94" s="427" t="s">
        <v>373</v>
      </c>
      <c r="S94" s="427" t="s">
        <v>373</v>
      </c>
      <c r="T94" s="427" t="s">
        <v>373</v>
      </c>
      <c r="U94" s="427">
        <v>2027</v>
      </c>
      <c r="V94" s="427">
        <v>2028</v>
      </c>
      <c r="W94" s="431"/>
      <c r="X94" s="431" t="s">
        <v>818</v>
      </c>
      <c r="Y94" s="431" t="s">
        <v>819</v>
      </c>
      <c r="Z94" s="55" t="s">
        <v>820</v>
      </c>
      <c r="AA94" s="432"/>
      <c r="AB94" s="427"/>
      <c r="AC94" s="427"/>
      <c r="AD94" s="427"/>
      <c r="AE94" s="427"/>
      <c r="AF94" s="435"/>
      <c r="AG94" s="436"/>
      <c r="AH94" s="151">
        <v>46743</v>
      </c>
      <c r="AI94" s="151">
        <v>46920</v>
      </c>
      <c r="AJ94" s="514"/>
      <c r="AK94" s="515"/>
      <c r="AL94" s="515"/>
      <c r="AM94" s="440" t="e">
        <f>IF(DemandaEstrateg_[[#This Row],[Tipo de Requerimiento]]="Proyecto",(DemandaEstrateg_[[#This Row],[% Avance ejecutado]]-DemandaEstrateg_[[#This Row],[% Avance Planificado]])/DemandaEstrateg_[[#This Row],[% Avance Planificado]],"No aplica")</f>
        <v>#DIV/0!</v>
      </c>
      <c r="AN94" s="441" t="e">
        <f>IF(DemandaEstrateg_[[#This Row],[Tipo de Requerimiento]]="Proyecto",(DemandaEstrateg_[[#This Row],[% Avance ejecutado]]-DemandaEstrateg_[[#This Row],[% Avance Planificado]])/DemandaEstrateg_[[#This Row],[% Avance Planificado]],"No aplica")</f>
        <v>#DIV/0!</v>
      </c>
      <c r="AO94" s="191"/>
      <c r="AP94" s="191"/>
      <c r="AQ94" s="191"/>
      <c r="AR94" s="191"/>
      <c r="AS94" s="442" t="e">
        <f>VLOOKUP(DemandaEstrateg_[[#This Row],[Últ. Estado CQ 14.05]],Tabla36[[Estado CQ]:[Estado TI]],3,FALSE)</f>
        <v>#N/A</v>
      </c>
      <c r="AT94" s="385" t="s">
        <v>297</v>
      </c>
      <c r="AU94" s="458" t="s">
        <v>821</v>
      </c>
      <c r="AV94" s="214" t="s">
        <v>822</v>
      </c>
    </row>
    <row r="95" spans="1:48" s="109" customFormat="1" ht="40.5">
      <c r="A95" s="510">
        <v>3287</v>
      </c>
      <c r="B95" s="427" t="s">
        <v>175</v>
      </c>
      <c r="C95" s="427" t="s">
        <v>175</v>
      </c>
      <c r="D95" s="427" t="s">
        <v>175</v>
      </c>
      <c r="E95" s="55" t="s">
        <v>347</v>
      </c>
      <c r="F95" s="508" t="s">
        <v>841</v>
      </c>
      <c r="G95" s="429"/>
      <c r="H95" s="428" t="s">
        <v>814</v>
      </c>
      <c r="I95" s="428" t="s">
        <v>815</v>
      </c>
      <c r="J95" s="428" t="s">
        <v>816</v>
      </c>
      <c r="K95" s="430"/>
      <c r="L95" s="512">
        <v>46141</v>
      </c>
      <c r="M95" s="513" t="s">
        <v>842</v>
      </c>
      <c r="N95" s="427" t="s">
        <v>382</v>
      </c>
      <c r="O95" s="427" t="s">
        <v>382</v>
      </c>
      <c r="P95" s="427" t="s">
        <v>382</v>
      </c>
      <c r="Q95" s="513" t="s">
        <v>97</v>
      </c>
      <c r="R95" s="427" t="s">
        <v>373</v>
      </c>
      <c r="S95" s="427" t="s">
        <v>373</v>
      </c>
      <c r="T95" s="427" t="s">
        <v>373</v>
      </c>
      <c r="U95" s="427">
        <v>2026</v>
      </c>
      <c r="V95" s="427">
        <v>2030</v>
      </c>
      <c r="W95" s="431"/>
      <c r="X95" s="431" t="s">
        <v>818</v>
      </c>
      <c r="Y95" s="431" t="s">
        <v>819</v>
      </c>
      <c r="Z95" s="55" t="s">
        <v>820</v>
      </c>
      <c r="AA95" s="432"/>
      <c r="AB95" s="427"/>
      <c r="AC95" s="427"/>
      <c r="AD95" s="427"/>
      <c r="AE95" s="427"/>
      <c r="AF95" s="435"/>
      <c r="AG95" s="436"/>
      <c r="AH95" s="151">
        <v>46276</v>
      </c>
      <c r="AI95" s="151">
        <v>47568</v>
      </c>
      <c r="AJ95" s="514"/>
      <c r="AK95" s="515"/>
      <c r="AL95" s="515"/>
      <c r="AM95" s="440" t="e">
        <f>IF(DemandaEstrateg_[[#This Row],[Tipo de Requerimiento]]="Proyecto",(DemandaEstrateg_[[#This Row],[% Avance ejecutado]]-DemandaEstrateg_[[#This Row],[% Avance Planificado]])/DemandaEstrateg_[[#This Row],[% Avance Planificado]],"No aplica")</f>
        <v>#DIV/0!</v>
      </c>
      <c r="AN95" s="441" t="e">
        <f>IF(DemandaEstrateg_[[#This Row],[Tipo de Requerimiento]]="Proyecto",(DemandaEstrateg_[[#This Row],[% Avance ejecutado]]-DemandaEstrateg_[[#This Row],[% Avance Planificado]])/DemandaEstrateg_[[#This Row],[% Avance Planificado]],"No aplica")</f>
        <v>#DIV/0!</v>
      </c>
      <c r="AO95" s="191"/>
      <c r="AP95" s="191"/>
      <c r="AQ95" s="191"/>
      <c r="AR95" s="191"/>
      <c r="AS95" s="442" t="e">
        <f>VLOOKUP(DemandaEstrateg_[[#This Row],[Últ. Estado CQ 14.05]],Tabla36[[Estado CQ]:[Estado TI]],3,FALSE)</f>
        <v>#N/A</v>
      </c>
      <c r="AT95" s="385" t="s">
        <v>297</v>
      </c>
      <c r="AU95" s="458" t="s">
        <v>821</v>
      </c>
      <c r="AV95" s="214" t="s">
        <v>822</v>
      </c>
    </row>
    <row r="96" spans="1:48" s="109" customFormat="1" ht="40.5">
      <c r="A96" s="510">
        <v>3288</v>
      </c>
      <c r="B96" s="427" t="s">
        <v>175</v>
      </c>
      <c r="C96" s="427" t="s">
        <v>175</v>
      </c>
      <c r="D96" s="427" t="s">
        <v>175</v>
      </c>
      <c r="E96" s="55" t="s">
        <v>347</v>
      </c>
      <c r="F96" s="508" t="s">
        <v>843</v>
      </c>
      <c r="G96" s="429"/>
      <c r="H96" s="428" t="s">
        <v>814</v>
      </c>
      <c r="I96" s="428" t="s">
        <v>815</v>
      </c>
      <c r="J96" s="428" t="s">
        <v>844</v>
      </c>
      <c r="K96" s="430"/>
      <c r="L96" s="512">
        <v>46141</v>
      </c>
      <c r="M96" s="513" t="s">
        <v>845</v>
      </c>
      <c r="N96" s="427" t="s">
        <v>382</v>
      </c>
      <c r="O96" s="427" t="s">
        <v>382</v>
      </c>
      <c r="P96" s="427" t="s">
        <v>382</v>
      </c>
      <c r="Q96" s="513" t="s">
        <v>97</v>
      </c>
      <c r="R96" s="427" t="s">
        <v>373</v>
      </c>
      <c r="S96" s="427" t="s">
        <v>373</v>
      </c>
      <c r="T96" s="427" t="s">
        <v>373</v>
      </c>
      <c r="U96" s="427">
        <v>2026</v>
      </c>
      <c r="V96" s="427">
        <v>2030</v>
      </c>
      <c r="W96" s="431"/>
      <c r="X96" s="431" t="s">
        <v>818</v>
      </c>
      <c r="Y96" s="431" t="s">
        <v>846</v>
      </c>
      <c r="Z96" s="55" t="s">
        <v>374</v>
      </c>
      <c r="AA96" s="432"/>
      <c r="AB96" s="427"/>
      <c r="AC96" s="427"/>
      <c r="AD96" s="427"/>
      <c r="AE96" s="427"/>
      <c r="AF96" s="435"/>
      <c r="AG96" s="436"/>
      <c r="AH96" s="151">
        <v>46183</v>
      </c>
      <c r="AI96" s="151">
        <v>47568</v>
      </c>
      <c r="AJ96" s="514"/>
      <c r="AK96" s="515"/>
      <c r="AL96" s="515"/>
      <c r="AM96" s="440" t="e">
        <f>IF(DemandaEstrateg_[[#This Row],[Tipo de Requerimiento]]="Proyecto",(DemandaEstrateg_[[#This Row],[% Avance ejecutado]]-DemandaEstrateg_[[#This Row],[% Avance Planificado]])/DemandaEstrateg_[[#This Row],[% Avance Planificado]],"No aplica")</f>
        <v>#DIV/0!</v>
      </c>
      <c r="AN96" s="441" t="e">
        <f>IF(DemandaEstrateg_[[#This Row],[Tipo de Requerimiento]]="Proyecto",(DemandaEstrateg_[[#This Row],[% Avance ejecutado]]-DemandaEstrateg_[[#This Row],[% Avance Planificado]])/DemandaEstrateg_[[#This Row],[% Avance Planificado]],"No aplica")</f>
        <v>#DIV/0!</v>
      </c>
      <c r="AO96" s="191"/>
      <c r="AP96" s="191"/>
      <c r="AQ96" s="191"/>
      <c r="AR96" s="191"/>
      <c r="AS96" s="442" t="e">
        <f>VLOOKUP(DemandaEstrateg_[[#This Row],[Últ. Estado CQ 14.05]],Tabla36[[Estado CQ]:[Estado TI]],3,FALSE)</f>
        <v>#N/A</v>
      </c>
      <c r="AT96" s="385" t="s">
        <v>297</v>
      </c>
      <c r="AU96" s="458" t="s">
        <v>821</v>
      </c>
      <c r="AV96" s="214" t="s">
        <v>822</v>
      </c>
    </row>
    <row r="97" spans="1:48" s="109" customFormat="1" ht="40.5">
      <c r="A97" s="510">
        <v>3289</v>
      </c>
      <c r="B97" s="427" t="s">
        <v>175</v>
      </c>
      <c r="C97" s="427" t="s">
        <v>175</v>
      </c>
      <c r="D97" s="427" t="s">
        <v>175</v>
      </c>
      <c r="E97" s="55" t="s">
        <v>347</v>
      </c>
      <c r="F97" s="508" t="s">
        <v>847</v>
      </c>
      <c r="G97" s="429"/>
      <c r="H97" s="428" t="s">
        <v>814</v>
      </c>
      <c r="I97" s="428" t="s">
        <v>815</v>
      </c>
      <c r="J97" s="428" t="s">
        <v>844</v>
      </c>
      <c r="K97" s="430"/>
      <c r="L97" s="512">
        <v>46141</v>
      </c>
      <c r="M97" s="513" t="s">
        <v>848</v>
      </c>
      <c r="N97" s="427" t="s">
        <v>382</v>
      </c>
      <c r="O97" s="427" t="s">
        <v>382</v>
      </c>
      <c r="P97" s="427" t="s">
        <v>382</v>
      </c>
      <c r="Q97" s="513" t="s">
        <v>97</v>
      </c>
      <c r="R97" s="427" t="s">
        <v>373</v>
      </c>
      <c r="S97" s="427" t="s">
        <v>373</v>
      </c>
      <c r="T97" s="427" t="s">
        <v>373</v>
      </c>
      <c r="U97" s="427">
        <v>2027</v>
      </c>
      <c r="V97" s="427">
        <v>2028</v>
      </c>
      <c r="W97" s="431"/>
      <c r="X97" s="431" t="s">
        <v>818</v>
      </c>
      <c r="Y97" s="431" t="s">
        <v>846</v>
      </c>
      <c r="Z97" s="55" t="s">
        <v>374</v>
      </c>
      <c r="AA97" s="432"/>
      <c r="AB97" s="427"/>
      <c r="AC97" s="427"/>
      <c r="AD97" s="427"/>
      <c r="AE97" s="427"/>
      <c r="AF97" s="435"/>
      <c r="AG97" s="436"/>
      <c r="AH97" s="151">
        <v>46399</v>
      </c>
      <c r="AI97" s="151">
        <v>46762</v>
      </c>
      <c r="AJ97" s="514"/>
      <c r="AK97" s="515"/>
      <c r="AL97" s="515"/>
      <c r="AM97" s="440" t="e">
        <f>IF(DemandaEstrateg_[[#This Row],[Tipo de Requerimiento]]="Proyecto",(DemandaEstrateg_[[#This Row],[% Avance ejecutado]]-DemandaEstrateg_[[#This Row],[% Avance Planificado]])/DemandaEstrateg_[[#This Row],[% Avance Planificado]],"No aplica")</f>
        <v>#DIV/0!</v>
      </c>
      <c r="AN97" s="441" t="e">
        <f>IF(DemandaEstrateg_[[#This Row],[Tipo de Requerimiento]]="Proyecto",(DemandaEstrateg_[[#This Row],[% Avance ejecutado]]-DemandaEstrateg_[[#This Row],[% Avance Planificado]])/DemandaEstrateg_[[#This Row],[% Avance Planificado]],"No aplica")</f>
        <v>#DIV/0!</v>
      </c>
      <c r="AO97" s="191"/>
      <c r="AP97" s="191"/>
      <c r="AQ97" s="191"/>
      <c r="AR97" s="191"/>
      <c r="AS97" s="442" t="e">
        <f>VLOOKUP(DemandaEstrateg_[[#This Row],[Últ. Estado CQ 14.05]],Tabla36[[Estado CQ]:[Estado TI]],3,FALSE)</f>
        <v>#N/A</v>
      </c>
      <c r="AT97" s="385" t="s">
        <v>297</v>
      </c>
      <c r="AU97" s="458" t="s">
        <v>821</v>
      </c>
      <c r="AV97" s="214" t="s">
        <v>822</v>
      </c>
    </row>
    <row r="98" spans="1:48" s="109" customFormat="1" ht="40.5">
      <c r="A98" s="510">
        <v>3290</v>
      </c>
      <c r="B98" s="427" t="s">
        <v>175</v>
      </c>
      <c r="C98" s="427" t="s">
        <v>175</v>
      </c>
      <c r="D98" s="427" t="s">
        <v>175</v>
      </c>
      <c r="E98" s="55" t="s">
        <v>347</v>
      </c>
      <c r="F98" s="508" t="s">
        <v>849</v>
      </c>
      <c r="G98" s="429"/>
      <c r="H98" s="428" t="s">
        <v>814</v>
      </c>
      <c r="I98" s="428" t="s">
        <v>815</v>
      </c>
      <c r="J98" s="428" t="s">
        <v>844</v>
      </c>
      <c r="K98" s="430"/>
      <c r="L98" s="512">
        <v>46141</v>
      </c>
      <c r="M98" s="513" t="s">
        <v>850</v>
      </c>
      <c r="N98" s="427" t="s">
        <v>382</v>
      </c>
      <c r="O98" s="427" t="s">
        <v>382</v>
      </c>
      <c r="P98" s="427" t="s">
        <v>382</v>
      </c>
      <c r="Q98" s="513" t="s">
        <v>97</v>
      </c>
      <c r="R98" s="427" t="s">
        <v>373</v>
      </c>
      <c r="S98" s="427" t="s">
        <v>373</v>
      </c>
      <c r="T98" s="427" t="s">
        <v>373</v>
      </c>
      <c r="U98" s="427">
        <v>2027</v>
      </c>
      <c r="V98" s="427">
        <v>2028</v>
      </c>
      <c r="W98" s="431"/>
      <c r="X98" s="431" t="s">
        <v>818</v>
      </c>
      <c r="Y98" s="431" t="s">
        <v>846</v>
      </c>
      <c r="Z98" s="55" t="s">
        <v>374</v>
      </c>
      <c r="AA98" s="432"/>
      <c r="AB98" s="427"/>
      <c r="AC98" s="427"/>
      <c r="AD98" s="427"/>
      <c r="AE98" s="427"/>
      <c r="AF98" s="435"/>
      <c r="AG98" s="436"/>
      <c r="AH98" s="151">
        <v>46553</v>
      </c>
      <c r="AI98" s="151">
        <v>46981</v>
      </c>
      <c r="AJ98" s="514"/>
      <c r="AK98" s="515"/>
      <c r="AL98" s="515"/>
      <c r="AM98" s="440" t="e">
        <f>IF(DemandaEstrateg_[[#This Row],[Tipo de Requerimiento]]="Proyecto",(DemandaEstrateg_[[#This Row],[% Avance ejecutado]]-DemandaEstrateg_[[#This Row],[% Avance Planificado]])/DemandaEstrateg_[[#This Row],[% Avance Planificado]],"No aplica")</f>
        <v>#DIV/0!</v>
      </c>
      <c r="AN98" s="441" t="e">
        <f>IF(DemandaEstrateg_[[#This Row],[Tipo de Requerimiento]]="Proyecto",(DemandaEstrateg_[[#This Row],[% Avance ejecutado]]-DemandaEstrateg_[[#This Row],[% Avance Planificado]])/DemandaEstrateg_[[#This Row],[% Avance Planificado]],"No aplica")</f>
        <v>#DIV/0!</v>
      </c>
      <c r="AO98" s="191"/>
      <c r="AP98" s="191"/>
      <c r="AQ98" s="191"/>
      <c r="AR98" s="191"/>
      <c r="AS98" s="442" t="e">
        <f>VLOOKUP(DemandaEstrateg_[[#This Row],[Últ. Estado CQ 14.05]],Tabla36[[Estado CQ]:[Estado TI]],3,FALSE)</f>
        <v>#N/A</v>
      </c>
      <c r="AT98" s="385" t="s">
        <v>297</v>
      </c>
      <c r="AU98" s="458" t="s">
        <v>821</v>
      </c>
      <c r="AV98" s="214" t="s">
        <v>822</v>
      </c>
    </row>
    <row r="99" spans="1:48" s="109" customFormat="1" ht="40.5">
      <c r="A99" s="510">
        <v>3291</v>
      </c>
      <c r="B99" s="427" t="s">
        <v>175</v>
      </c>
      <c r="C99" s="427" t="s">
        <v>175</v>
      </c>
      <c r="D99" s="427" t="s">
        <v>175</v>
      </c>
      <c r="E99" s="55" t="s">
        <v>347</v>
      </c>
      <c r="F99" s="508" t="s">
        <v>851</v>
      </c>
      <c r="G99" s="429"/>
      <c r="H99" s="428" t="s">
        <v>814</v>
      </c>
      <c r="I99" s="428" t="s">
        <v>815</v>
      </c>
      <c r="J99" s="428" t="s">
        <v>844</v>
      </c>
      <c r="K99" s="430"/>
      <c r="L99" s="512">
        <v>46141</v>
      </c>
      <c r="M99" s="513" t="s">
        <v>852</v>
      </c>
      <c r="N99" s="427" t="s">
        <v>382</v>
      </c>
      <c r="O99" s="427" t="s">
        <v>382</v>
      </c>
      <c r="P99" s="427" t="s">
        <v>382</v>
      </c>
      <c r="Q99" s="513" t="s">
        <v>97</v>
      </c>
      <c r="R99" s="427" t="s">
        <v>373</v>
      </c>
      <c r="S99" s="427" t="s">
        <v>373</v>
      </c>
      <c r="T99" s="427" t="s">
        <v>373</v>
      </c>
      <c r="U99" s="427">
        <v>2028</v>
      </c>
      <c r="V99" s="427">
        <v>2030</v>
      </c>
      <c r="W99" s="431"/>
      <c r="X99" s="431" t="s">
        <v>818</v>
      </c>
      <c r="Y99" s="431" t="s">
        <v>846</v>
      </c>
      <c r="Z99" s="55" t="s">
        <v>374</v>
      </c>
      <c r="AA99" s="432"/>
      <c r="AB99" s="427"/>
      <c r="AC99" s="427"/>
      <c r="AD99" s="427"/>
      <c r="AE99" s="427"/>
      <c r="AF99" s="435"/>
      <c r="AG99" s="436"/>
      <c r="AH99" s="151">
        <v>46896</v>
      </c>
      <c r="AI99" s="151">
        <v>47568</v>
      </c>
      <c r="AJ99" s="514"/>
      <c r="AK99" s="515"/>
      <c r="AL99" s="515"/>
      <c r="AM99" s="440" t="e">
        <f>IF(DemandaEstrateg_[[#This Row],[Tipo de Requerimiento]]="Proyecto",(DemandaEstrateg_[[#This Row],[% Avance ejecutado]]-DemandaEstrateg_[[#This Row],[% Avance Planificado]])/DemandaEstrateg_[[#This Row],[% Avance Planificado]],"No aplica")</f>
        <v>#DIV/0!</v>
      </c>
      <c r="AN99" s="441" t="e">
        <f>IF(DemandaEstrateg_[[#This Row],[Tipo de Requerimiento]]="Proyecto",(DemandaEstrateg_[[#This Row],[% Avance ejecutado]]-DemandaEstrateg_[[#This Row],[% Avance Planificado]])/DemandaEstrateg_[[#This Row],[% Avance Planificado]],"No aplica")</f>
        <v>#DIV/0!</v>
      </c>
      <c r="AO99" s="191"/>
      <c r="AP99" s="191"/>
      <c r="AQ99" s="191"/>
      <c r="AR99" s="191"/>
      <c r="AS99" s="442" t="e">
        <f>VLOOKUP(DemandaEstrateg_[[#This Row],[Últ. Estado CQ 14.05]],Tabla36[[Estado CQ]:[Estado TI]],3,FALSE)</f>
        <v>#N/A</v>
      </c>
      <c r="AT99" s="385" t="s">
        <v>297</v>
      </c>
      <c r="AU99" s="458" t="s">
        <v>821</v>
      </c>
      <c r="AV99" s="214" t="s">
        <v>822</v>
      </c>
    </row>
    <row r="100" spans="1:48" s="109" customFormat="1" ht="40.5">
      <c r="A100" s="510">
        <v>3292</v>
      </c>
      <c r="B100" s="427" t="s">
        <v>175</v>
      </c>
      <c r="C100" s="427" t="s">
        <v>175</v>
      </c>
      <c r="D100" s="427" t="s">
        <v>175</v>
      </c>
      <c r="E100" s="55" t="s">
        <v>347</v>
      </c>
      <c r="F100" s="508" t="s">
        <v>853</v>
      </c>
      <c r="G100" s="429"/>
      <c r="H100" s="428" t="s">
        <v>814</v>
      </c>
      <c r="I100" s="428" t="s">
        <v>815</v>
      </c>
      <c r="J100" s="428" t="s">
        <v>844</v>
      </c>
      <c r="K100" s="430"/>
      <c r="L100" s="512">
        <v>46141</v>
      </c>
      <c r="M100" s="513" t="s">
        <v>854</v>
      </c>
      <c r="N100" s="427" t="s">
        <v>382</v>
      </c>
      <c r="O100" s="427" t="s">
        <v>382</v>
      </c>
      <c r="P100" s="427" t="s">
        <v>382</v>
      </c>
      <c r="Q100" s="513" t="s">
        <v>97</v>
      </c>
      <c r="R100" s="427" t="s">
        <v>373</v>
      </c>
      <c r="S100" s="427" t="s">
        <v>373</v>
      </c>
      <c r="T100" s="427" t="s">
        <v>373</v>
      </c>
      <c r="U100" s="427">
        <v>2027</v>
      </c>
      <c r="V100" s="427">
        <v>2028</v>
      </c>
      <c r="W100" s="431"/>
      <c r="X100" s="431" t="s">
        <v>818</v>
      </c>
      <c r="Y100" s="431" t="s">
        <v>846</v>
      </c>
      <c r="Z100" s="55" t="s">
        <v>374</v>
      </c>
      <c r="AA100" s="432"/>
      <c r="AB100" s="427"/>
      <c r="AC100" s="427"/>
      <c r="AD100" s="427"/>
      <c r="AE100" s="427"/>
      <c r="AF100" s="435"/>
      <c r="AG100" s="436"/>
      <c r="AH100" s="151">
        <v>46594</v>
      </c>
      <c r="AI100" s="151">
        <v>46777</v>
      </c>
      <c r="AJ100" s="514"/>
      <c r="AK100" s="515"/>
      <c r="AL100" s="515"/>
      <c r="AM100" s="440" t="e">
        <f>IF(DemandaEstrateg_[[#This Row],[Tipo de Requerimiento]]="Proyecto",(DemandaEstrateg_[[#This Row],[% Avance ejecutado]]-DemandaEstrateg_[[#This Row],[% Avance Planificado]])/DemandaEstrateg_[[#This Row],[% Avance Planificado]],"No aplica")</f>
        <v>#DIV/0!</v>
      </c>
      <c r="AN100" s="441" t="e">
        <f>IF(DemandaEstrateg_[[#This Row],[Tipo de Requerimiento]]="Proyecto",(DemandaEstrateg_[[#This Row],[% Avance ejecutado]]-DemandaEstrateg_[[#This Row],[% Avance Planificado]])/DemandaEstrateg_[[#This Row],[% Avance Planificado]],"No aplica")</f>
        <v>#DIV/0!</v>
      </c>
      <c r="AO100" s="191"/>
      <c r="AP100" s="191"/>
      <c r="AQ100" s="191"/>
      <c r="AR100" s="191"/>
      <c r="AS100" s="442" t="e">
        <f>VLOOKUP(DemandaEstrateg_[[#This Row],[Últ. Estado CQ 14.05]],Tabla36[[Estado CQ]:[Estado TI]],3,FALSE)</f>
        <v>#N/A</v>
      </c>
      <c r="AT100" s="385" t="s">
        <v>297</v>
      </c>
      <c r="AU100" s="458" t="s">
        <v>821</v>
      </c>
      <c r="AV100" s="214" t="s">
        <v>822</v>
      </c>
    </row>
    <row r="101" spans="1:48" s="109" customFormat="1" ht="40.5">
      <c r="A101" s="510">
        <v>3293</v>
      </c>
      <c r="B101" s="427" t="s">
        <v>175</v>
      </c>
      <c r="C101" s="427" t="s">
        <v>175</v>
      </c>
      <c r="D101" s="427" t="s">
        <v>175</v>
      </c>
      <c r="E101" s="55" t="s">
        <v>347</v>
      </c>
      <c r="F101" s="508" t="s">
        <v>855</v>
      </c>
      <c r="G101" s="429"/>
      <c r="H101" s="428" t="s">
        <v>814</v>
      </c>
      <c r="I101" s="428" t="s">
        <v>815</v>
      </c>
      <c r="J101" s="428" t="s">
        <v>844</v>
      </c>
      <c r="K101" s="430"/>
      <c r="L101" s="512">
        <v>46141</v>
      </c>
      <c r="M101" s="513" t="s">
        <v>856</v>
      </c>
      <c r="N101" s="427" t="s">
        <v>382</v>
      </c>
      <c r="O101" s="427" t="s">
        <v>382</v>
      </c>
      <c r="P101" s="427" t="s">
        <v>382</v>
      </c>
      <c r="Q101" s="513" t="s">
        <v>97</v>
      </c>
      <c r="R101" s="427" t="s">
        <v>373</v>
      </c>
      <c r="S101" s="427" t="s">
        <v>373</v>
      </c>
      <c r="T101" s="427" t="s">
        <v>373</v>
      </c>
      <c r="U101" s="427">
        <v>2026</v>
      </c>
      <c r="V101" s="427">
        <v>2026</v>
      </c>
      <c r="W101" s="431"/>
      <c r="X101" s="431" t="s">
        <v>818</v>
      </c>
      <c r="Y101" s="431" t="s">
        <v>846</v>
      </c>
      <c r="Z101" s="55" t="s">
        <v>374</v>
      </c>
      <c r="AA101" s="432"/>
      <c r="AB101" s="427"/>
      <c r="AC101" s="427"/>
      <c r="AD101" s="427"/>
      <c r="AE101" s="427"/>
      <c r="AF101" s="435"/>
      <c r="AG101" s="436"/>
      <c r="AH101" s="151">
        <v>46189</v>
      </c>
      <c r="AI101" s="151">
        <v>46238</v>
      </c>
      <c r="AJ101" s="514"/>
      <c r="AK101" s="515"/>
      <c r="AL101" s="515"/>
      <c r="AM101" s="440" t="e">
        <f>IF(DemandaEstrateg_[[#This Row],[Tipo de Requerimiento]]="Proyecto",(DemandaEstrateg_[[#This Row],[% Avance ejecutado]]-DemandaEstrateg_[[#This Row],[% Avance Planificado]])/DemandaEstrateg_[[#This Row],[% Avance Planificado]],"No aplica")</f>
        <v>#DIV/0!</v>
      </c>
      <c r="AN101" s="441" t="e">
        <f>IF(DemandaEstrateg_[[#This Row],[Tipo de Requerimiento]]="Proyecto",(DemandaEstrateg_[[#This Row],[% Avance ejecutado]]-DemandaEstrateg_[[#This Row],[% Avance Planificado]])/DemandaEstrateg_[[#This Row],[% Avance Planificado]],"No aplica")</f>
        <v>#DIV/0!</v>
      </c>
      <c r="AO101" s="191"/>
      <c r="AP101" s="191"/>
      <c r="AQ101" s="191"/>
      <c r="AR101" s="191"/>
      <c r="AS101" s="442" t="e">
        <f>VLOOKUP(DemandaEstrateg_[[#This Row],[Últ. Estado CQ 14.05]],Tabla36[[Estado CQ]:[Estado TI]],3,FALSE)</f>
        <v>#N/A</v>
      </c>
      <c r="AT101" s="385" t="s">
        <v>297</v>
      </c>
      <c r="AU101" s="458" t="s">
        <v>821</v>
      </c>
      <c r="AV101" s="214" t="s">
        <v>822</v>
      </c>
    </row>
    <row r="102" spans="1:48" s="109" customFormat="1" ht="40.5">
      <c r="A102" s="510">
        <v>3294</v>
      </c>
      <c r="B102" s="427" t="s">
        <v>175</v>
      </c>
      <c r="C102" s="427" t="s">
        <v>175</v>
      </c>
      <c r="D102" s="427" t="s">
        <v>175</v>
      </c>
      <c r="E102" s="55" t="s">
        <v>347</v>
      </c>
      <c r="F102" s="508" t="s">
        <v>857</v>
      </c>
      <c r="G102" s="429"/>
      <c r="H102" s="428" t="s">
        <v>814</v>
      </c>
      <c r="I102" s="428" t="s">
        <v>815</v>
      </c>
      <c r="J102" s="428" t="s">
        <v>858</v>
      </c>
      <c r="K102" s="430"/>
      <c r="L102" s="512">
        <v>46141</v>
      </c>
      <c r="M102" s="513" t="s">
        <v>859</v>
      </c>
      <c r="N102" s="427" t="s">
        <v>382</v>
      </c>
      <c r="O102" s="427" t="s">
        <v>382</v>
      </c>
      <c r="P102" s="427" t="s">
        <v>382</v>
      </c>
      <c r="Q102" s="513" t="s">
        <v>97</v>
      </c>
      <c r="R102" s="427" t="s">
        <v>373</v>
      </c>
      <c r="S102" s="427" t="s">
        <v>373</v>
      </c>
      <c r="T102" s="427" t="s">
        <v>373</v>
      </c>
      <c r="U102" s="427">
        <v>2027</v>
      </c>
      <c r="V102" s="427">
        <v>2028</v>
      </c>
      <c r="W102" s="431"/>
      <c r="X102" s="431" t="s">
        <v>818</v>
      </c>
      <c r="Y102" s="431" t="s">
        <v>860</v>
      </c>
      <c r="Z102" s="55" t="s">
        <v>820</v>
      </c>
      <c r="AA102" s="432"/>
      <c r="AB102" s="427"/>
      <c r="AC102" s="427"/>
      <c r="AD102" s="427"/>
      <c r="AE102" s="427"/>
      <c r="AF102" s="435"/>
      <c r="AG102" s="436"/>
      <c r="AH102" s="151">
        <v>46633</v>
      </c>
      <c r="AI102" s="151">
        <v>46876</v>
      </c>
      <c r="AJ102" s="514"/>
      <c r="AK102" s="515"/>
      <c r="AL102" s="515"/>
      <c r="AM102" s="440" t="e">
        <f>IF(DemandaEstrateg_[[#This Row],[Tipo de Requerimiento]]="Proyecto",(DemandaEstrateg_[[#This Row],[% Avance ejecutado]]-DemandaEstrateg_[[#This Row],[% Avance Planificado]])/DemandaEstrateg_[[#This Row],[% Avance Planificado]],"No aplica")</f>
        <v>#DIV/0!</v>
      </c>
      <c r="AN102" s="441" t="e">
        <f>IF(DemandaEstrateg_[[#This Row],[Tipo de Requerimiento]]="Proyecto",(DemandaEstrateg_[[#This Row],[% Avance ejecutado]]-DemandaEstrateg_[[#This Row],[% Avance Planificado]])/DemandaEstrateg_[[#This Row],[% Avance Planificado]],"No aplica")</f>
        <v>#DIV/0!</v>
      </c>
      <c r="AO102" s="191"/>
      <c r="AP102" s="191"/>
      <c r="AQ102" s="191"/>
      <c r="AR102" s="191"/>
      <c r="AS102" s="442" t="e">
        <f>VLOOKUP(DemandaEstrateg_[[#This Row],[Últ. Estado CQ 14.05]],Tabla36[[Estado CQ]:[Estado TI]],3,FALSE)</f>
        <v>#N/A</v>
      </c>
      <c r="AT102" s="385" t="s">
        <v>297</v>
      </c>
      <c r="AU102" s="458" t="s">
        <v>821</v>
      </c>
      <c r="AV102" s="214" t="s">
        <v>822</v>
      </c>
    </row>
    <row r="103" spans="1:48" s="109" customFormat="1" ht="40.5">
      <c r="A103" s="510">
        <v>3295</v>
      </c>
      <c r="B103" s="427" t="s">
        <v>175</v>
      </c>
      <c r="C103" s="427" t="s">
        <v>175</v>
      </c>
      <c r="D103" s="427" t="s">
        <v>175</v>
      </c>
      <c r="E103" s="55" t="s">
        <v>347</v>
      </c>
      <c r="F103" s="508" t="s">
        <v>861</v>
      </c>
      <c r="G103" s="429"/>
      <c r="H103" s="428" t="s">
        <v>814</v>
      </c>
      <c r="I103" s="428" t="s">
        <v>815</v>
      </c>
      <c r="J103" s="428" t="s">
        <v>858</v>
      </c>
      <c r="K103" s="430"/>
      <c r="L103" s="512">
        <v>46141</v>
      </c>
      <c r="M103" s="513" t="s">
        <v>862</v>
      </c>
      <c r="N103" s="427" t="s">
        <v>382</v>
      </c>
      <c r="O103" s="427" t="s">
        <v>382</v>
      </c>
      <c r="P103" s="427" t="s">
        <v>382</v>
      </c>
      <c r="Q103" s="513" t="s">
        <v>97</v>
      </c>
      <c r="R103" s="427" t="s">
        <v>373</v>
      </c>
      <c r="S103" s="427" t="s">
        <v>373</v>
      </c>
      <c r="T103" s="427" t="s">
        <v>373</v>
      </c>
      <c r="U103" s="427">
        <v>2027</v>
      </c>
      <c r="V103" s="427">
        <v>2028</v>
      </c>
      <c r="W103" s="431"/>
      <c r="X103" s="431" t="s">
        <v>818</v>
      </c>
      <c r="Y103" s="431" t="s">
        <v>860</v>
      </c>
      <c r="Z103" s="55" t="s">
        <v>820</v>
      </c>
      <c r="AA103" s="432"/>
      <c r="AB103" s="427"/>
      <c r="AC103" s="427"/>
      <c r="AD103" s="427"/>
      <c r="AE103" s="427"/>
      <c r="AF103" s="435"/>
      <c r="AG103" s="436"/>
      <c r="AH103" s="151">
        <v>46723</v>
      </c>
      <c r="AI103" s="151">
        <v>46897</v>
      </c>
      <c r="AJ103" s="514"/>
      <c r="AK103" s="515"/>
      <c r="AL103" s="515"/>
      <c r="AM103" s="440" t="e">
        <f>IF(DemandaEstrateg_[[#This Row],[Tipo de Requerimiento]]="Proyecto",(DemandaEstrateg_[[#This Row],[% Avance ejecutado]]-DemandaEstrateg_[[#This Row],[% Avance Planificado]])/DemandaEstrateg_[[#This Row],[% Avance Planificado]],"No aplica")</f>
        <v>#DIV/0!</v>
      </c>
      <c r="AN103" s="441" t="e">
        <f>IF(DemandaEstrateg_[[#This Row],[Tipo de Requerimiento]]="Proyecto",(DemandaEstrateg_[[#This Row],[% Avance ejecutado]]-DemandaEstrateg_[[#This Row],[% Avance Planificado]])/DemandaEstrateg_[[#This Row],[% Avance Planificado]],"No aplica")</f>
        <v>#DIV/0!</v>
      </c>
      <c r="AO103" s="191"/>
      <c r="AP103" s="191"/>
      <c r="AQ103" s="191"/>
      <c r="AR103" s="191"/>
      <c r="AS103" s="442" t="e">
        <f>VLOOKUP(DemandaEstrateg_[[#This Row],[Últ. Estado CQ 14.05]],Tabla36[[Estado CQ]:[Estado TI]],3,FALSE)</f>
        <v>#N/A</v>
      </c>
      <c r="AT103" s="385" t="s">
        <v>297</v>
      </c>
      <c r="AU103" s="458" t="s">
        <v>821</v>
      </c>
      <c r="AV103" s="214" t="s">
        <v>822</v>
      </c>
    </row>
    <row r="104" spans="1:48" s="109" customFormat="1" ht="40.5">
      <c r="A104" s="510">
        <v>3296</v>
      </c>
      <c r="B104" s="427" t="s">
        <v>175</v>
      </c>
      <c r="C104" s="427" t="s">
        <v>175</v>
      </c>
      <c r="D104" s="427" t="s">
        <v>175</v>
      </c>
      <c r="E104" s="55" t="s">
        <v>347</v>
      </c>
      <c r="F104" s="508" t="s">
        <v>863</v>
      </c>
      <c r="G104" s="429"/>
      <c r="H104" s="428" t="s">
        <v>814</v>
      </c>
      <c r="I104" s="428" t="s">
        <v>815</v>
      </c>
      <c r="J104" s="428" t="s">
        <v>858</v>
      </c>
      <c r="K104" s="430"/>
      <c r="L104" s="512">
        <v>46141</v>
      </c>
      <c r="M104" s="513" t="s">
        <v>864</v>
      </c>
      <c r="N104" s="427" t="s">
        <v>382</v>
      </c>
      <c r="O104" s="427" t="s">
        <v>382</v>
      </c>
      <c r="P104" s="427" t="s">
        <v>382</v>
      </c>
      <c r="Q104" s="513" t="s">
        <v>97</v>
      </c>
      <c r="R104" s="427" t="s">
        <v>373</v>
      </c>
      <c r="S104" s="427" t="s">
        <v>373</v>
      </c>
      <c r="T104" s="427" t="s">
        <v>373</v>
      </c>
      <c r="U104" s="427">
        <v>2027</v>
      </c>
      <c r="V104" s="427">
        <v>2027</v>
      </c>
      <c r="W104" s="431"/>
      <c r="X104" s="431" t="s">
        <v>818</v>
      </c>
      <c r="Y104" s="431" t="s">
        <v>860</v>
      </c>
      <c r="Z104" s="55" t="s">
        <v>820</v>
      </c>
      <c r="AA104" s="432"/>
      <c r="AB104" s="427"/>
      <c r="AC104" s="427"/>
      <c r="AD104" s="427"/>
      <c r="AE104" s="427"/>
      <c r="AF104" s="435"/>
      <c r="AG104" s="436"/>
      <c r="AH104" s="151">
        <v>46436</v>
      </c>
      <c r="AI104" s="151">
        <v>46608</v>
      </c>
      <c r="AJ104" s="514"/>
      <c r="AK104" s="515"/>
      <c r="AL104" s="515"/>
      <c r="AM104" s="440" t="e">
        <f>IF(DemandaEstrateg_[[#This Row],[Tipo de Requerimiento]]="Proyecto",(DemandaEstrateg_[[#This Row],[% Avance ejecutado]]-DemandaEstrateg_[[#This Row],[% Avance Planificado]])/DemandaEstrateg_[[#This Row],[% Avance Planificado]],"No aplica")</f>
        <v>#DIV/0!</v>
      </c>
      <c r="AN104" s="441" t="e">
        <f>IF(DemandaEstrateg_[[#This Row],[Tipo de Requerimiento]]="Proyecto",(DemandaEstrateg_[[#This Row],[% Avance ejecutado]]-DemandaEstrateg_[[#This Row],[% Avance Planificado]])/DemandaEstrateg_[[#This Row],[% Avance Planificado]],"No aplica")</f>
        <v>#DIV/0!</v>
      </c>
      <c r="AO104" s="191"/>
      <c r="AP104" s="191"/>
      <c r="AQ104" s="191"/>
      <c r="AR104" s="191"/>
      <c r="AS104" s="442" t="e">
        <f>VLOOKUP(DemandaEstrateg_[[#This Row],[Últ. Estado CQ 14.05]],Tabla36[[Estado CQ]:[Estado TI]],3,FALSE)</f>
        <v>#N/A</v>
      </c>
      <c r="AT104" s="385" t="s">
        <v>297</v>
      </c>
      <c r="AU104" s="458" t="s">
        <v>821</v>
      </c>
      <c r="AV104" s="214" t="s">
        <v>822</v>
      </c>
    </row>
    <row r="105" spans="1:48" s="109" customFormat="1" ht="40.5">
      <c r="A105" s="510">
        <v>3297</v>
      </c>
      <c r="B105" s="427" t="s">
        <v>175</v>
      </c>
      <c r="C105" s="427" t="s">
        <v>175</v>
      </c>
      <c r="D105" s="427" t="s">
        <v>175</v>
      </c>
      <c r="E105" s="55" t="s">
        <v>347</v>
      </c>
      <c r="F105" s="508" t="s">
        <v>865</v>
      </c>
      <c r="G105" s="429"/>
      <c r="H105" s="428" t="s">
        <v>814</v>
      </c>
      <c r="I105" s="428" t="s">
        <v>815</v>
      </c>
      <c r="J105" s="428" t="s">
        <v>858</v>
      </c>
      <c r="K105" s="430"/>
      <c r="L105" s="512">
        <v>46141</v>
      </c>
      <c r="M105" s="513" t="s">
        <v>866</v>
      </c>
      <c r="N105" s="427" t="s">
        <v>382</v>
      </c>
      <c r="O105" s="427" t="s">
        <v>382</v>
      </c>
      <c r="P105" s="427" t="s">
        <v>382</v>
      </c>
      <c r="Q105" s="513" t="s">
        <v>97</v>
      </c>
      <c r="R105" s="427" t="s">
        <v>373</v>
      </c>
      <c r="S105" s="427" t="s">
        <v>373</v>
      </c>
      <c r="T105" s="427" t="s">
        <v>373</v>
      </c>
      <c r="U105" s="427">
        <v>2027</v>
      </c>
      <c r="V105" s="427">
        <v>2027</v>
      </c>
      <c r="W105" s="431"/>
      <c r="X105" s="431" t="s">
        <v>818</v>
      </c>
      <c r="Y105" s="431" t="s">
        <v>860</v>
      </c>
      <c r="Z105" s="55" t="s">
        <v>820</v>
      </c>
      <c r="AA105" s="432"/>
      <c r="AB105" s="427"/>
      <c r="AC105" s="427"/>
      <c r="AD105" s="427"/>
      <c r="AE105" s="427"/>
      <c r="AF105" s="435"/>
      <c r="AG105" s="436"/>
      <c r="AH105" s="151">
        <v>46447</v>
      </c>
      <c r="AI105" s="151">
        <v>46689</v>
      </c>
      <c r="AJ105" s="514"/>
      <c r="AK105" s="515"/>
      <c r="AL105" s="515"/>
      <c r="AM105" s="440" t="e">
        <f>IF(DemandaEstrateg_[[#This Row],[Tipo de Requerimiento]]="Proyecto",(DemandaEstrateg_[[#This Row],[% Avance ejecutado]]-DemandaEstrateg_[[#This Row],[% Avance Planificado]])/DemandaEstrateg_[[#This Row],[% Avance Planificado]],"No aplica")</f>
        <v>#DIV/0!</v>
      </c>
      <c r="AN105" s="441" t="e">
        <f>IF(DemandaEstrateg_[[#This Row],[Tipo de Requerimiento]]="Proyecto",(DemandaEstrateg_[[#This Row],[% Avance ejecutado]]-DemandaEstrateg_[[#This Row],[% Avance Planificado]])/DemandaEstrateg_[[#This Row],[% Avance Planificado]],"No aplica")</f>
        <v>#DIV/0!</v>
      </c>
      <c r="AO105" s="191"/>
      <c r="AP105" s="191"/>
      <c r="AQ105" s="191"/>
      <c r="AR105" s="191"/>
      <c r="AS105" s="442" t="e">
        <f>VLOOKUP(DemandaEstrateg_[[#This Row],[Últ. Estado CQ 14.05]],Tabla36[[Estado CQ]:[Estado TI]],3,FALSE)</f>
        <v>#N/A</v>
      </c>
      <c r="AT105" s="385" t="s">
        <v>297</v>
      </c>
      <c r="AU105" s="458" t="s">
        <v>821</v>
      </c>
      <c r="AV105" s="214" t="s">
        <v>822</v>
      </c>
    </row>
    <row r="106" spans="1:48" s="109" customFormat="1" ht="40.5">
      <c r="A106" s="510">
        <v>3298</v>
      </c>
      <c r="B106" s="427" t="s">
        <v>175</v>
      </c>
      <c r="C106" s="427" t="s">
        <v>175</v>
      </c>
      <c r="D106" s="427" t="s">
        <v>175</v>
      </c>
      <c r="E106" s="55" t="s">
        <v>347</v>
      </c>
      <c r="F106" s="508" t="s">
        <v>867</v>
      </c>
      <c r="G106" s="429"/>
      <c r="H106" s="428" t="s">
        <v>814</v>
      </c>
      <c r="I106" s="428" t="s">
        <v>815</v>
      </c>
      <c r="J106" s="428" t="s">
        <v>858</v>
      </c>
      <c r="K106" s="430"/>
      <c r="L106" s="512">
        <v>46141</v>
      </c>
      <c r="M106" s="513" t="s">
        <v>868</v>
      </c>
      <c r="N106" s="427" t="s">
        <v>382</v>
      </c>
      <c r="O106" s="427" t="s">
        <v>382</v>
      </c>
      <c r="P106" s="427" t="s">
        <v>382</v>
      </c>
      <c r="Q106" s="513" t="s">
        <v>97</v>
      </c>
      <c r="R106" s="427" t="s">
        <v>373</v>
      </c>
      <c r="S106" s="427" t="s">
        <v>373</v>
      </c>
      <c r="T106" s="427" t="s">
        <v>373</v>
      </c>
      <c r="U106" s="427">
        <v>2026</v>
      </c>
      <c r="V106" s="427">
        <v>2027</v>
      </c>
      <c r="W106" s="431"/>
      <c r="X106" s="431" t="s">
        <v>818</v>
      </c>
      <c r="Y106" s="431" t="s">
        <v>860</v>
      </c>
      <c r="Z106" s="55" t="s">
        <v>820</v>
      </c>
      <c r="AA106" s="432"/>
      <c r="AB106" s="427"/>
      <c r="AC106" s="427"/>
      <c r="AD106" s="427"/>
      <c r="AE106" s="427"/>
      <c r="AF106" s="435"/>
      <c r="AG106" s="436"/>
      <c r="AH106" s="151">
        <v>46237</v>
      </c>
      <c r="AI106" s="151">
        <v>46506</v>
      </c>
      <c r="AJ106" s="514"/>
      <c r="AK106" s="515"/>
      <c r="AL106" s="515"/>
      <c r="AM106" s="440" t="e">
        <f>IF(DemandaEstrateg_[[#This Row],[Tipo de Requerimiento]]="Proyecto",(DemandaEstrateg_[[#This Row],[% Avance ejecutado]]-DemandaEstrateg_[[#This Row],[% Avance Planificado]])/DemandaEstrateg_[[#This Row],[% Avance Planificado]],"No aplica")</f>
        <v>#DIV/0!</v>
      </c>
      <c r="AN106" s="441" t="e">
        <f>IF(DemandaEstrateg_[[#This Row],[Tipo de Requerimiento]]="Proyecto",(DemandaEstrateg_[[#This Row],[% Avance ejecutado]]-DemandaEstrateg_[[#This Row],[% Avance Planificado]])/DemandaEstrateg_[[#This Row],[% Avance Planificado]],"No aplica")</f>
        <v>#DIV/0!</v>
      </c>
      <c r="AO106" s="191"/>
      <c r="AP106" s="191"/>
      <c r="AQ106" s="191"/>
      <c r="AR106" s="191"/>
      <c r="AS106" s="442" t="e">
        <f>VLOOKUP(DemandaEstrateg_[[#This Row],[Últ. Estado CQ 14.05]],Tabla36[[Estado CQ]:[Estado TI]],3,FALSE)</f>
        <v>#N/A</v>
      </c>
      <c r="AT106" s="385" t="s">
        <v>297</v>
      </c>
      <c r="AU106" s="458" t="s">
        <v>821</v>
      </c>
      <c r="AV106" s="214" t="s">
        <v>822</v>
      </c>
    </row>
    <row r="107" spans="1:48" s="109" customFormat="1" ht="40.5">
      <c r="A107" s="510">
        <v>3299</v>
      </c>
      <c r="B107" s="427" t="s">
        <v>175</v>
      </c>
      <c r="C107" s="427" t="s">
        <v>175</v>
      </c>
      <c r="D107" s="427" t="s">
        <v>175</v>
      </c>
      <c r="E107" s="55" t="s">
        <v>347</v>
      </c>
      <c r="F107" s="508" t="s">
        <v>869</v>
      </c>
      <c r="G107" s="429"/>
      <c r="H107" s="428" t="s">
        <v>814</v>
      </c>
      <c r="I107" s="428" t="s">
        <v>815</v>
      </c>
      <c r="J107" s="428" t="s">
        <v>858</v>
      </c>
      <c r="K107" s="430"/>
      <c r="L107" s="512">
        <v>46141</v>
      </c>
      <c r="M107" s="513" t="s">
        <v>870</v>
      </c>
      <c r="N107" s="427" t="s">
        <v>382</v>
      </c>
      <c r="O107" s="427" t="s">
        <v>382</v>
      </c>
      <c r="P107" s="427" t="s">
        <v>382</v>
      </c>
      <c r="Q107" s="513" t="s">
        <v>97</v>
      </c>
      <c r="R107" s="427" t="s">
        <v>373</v>
      </c>
      <c r="S107" s="427" t="s">
        <v>373</v>
      </c>
      <c r="T107" s="427" t="s">
        <v>373</v>
      </c>
      <c r="U107" s="427">
        <v>2026</v>
      </c>
      <c r="V107" s="427">
        <v>2026</v>
      </c>
      <c r="W107" s="431"/>
      <c r="X107" s="431" t="s">
        <v>818</v>
      </c>
      <c r="Y107" s="431" t="s">
        <v>860</v>
      </c>
      <c r="Z107" s="55" t="s">
        <v>820</v>
      </c>
      <c r="AA107" s="432"/>
      <c r="AB107" s="427"/>
      <c r="AC107" s="427"/>
      <c r="AD107" s="427"/>
      <c r="AE107" s="427"/>
      <c r="AF107" s="435"/>
      <c r="AG107" s="436"/>
      <c r="AH107" s="151">
        <v>46203</v>
      </c>
      <c r="AI107" s="151">
        <v>46353</v>
      </c>
      <c r="AJ107" s="514"/>
      <c r="AK107" s="515"/>
      <c r="AL107" s="515"/>
      <c r="AM107" s="440" t="e">
        <f>IF(DemandaEstrateg_[[#This Row],[Tipo de Requerimiento]]="Proyecto",(DemandaEstrateg_[[#This Row],[% Avance ejecutado]]-DemandaEstrateg_[[#This Row],[% Avance Planificado]])/DemandaEstrateg_[[#This Row],[% Avance Planificado]],"No aplica")</f>
        <v>#DIV/0!</v>
      </c>
      <c r="AN107" s="441" t="e">
        <f>IF(DemandaEstrateg_[[#This Row],[Tipo de Requerimiento]]="Proyecto",(DemandaEstrateg_[[#This Row],[% Avance ejecutado]]-DemandaEstrateg_[[#This Row],[% Avance Planificado]])/DemandaEstrateg_[[#This Row],[% Avance Planificado]],"No aplica")</f>
        <v>#DIV/0!</v>
      </c>
      <c r="AO107" s="191"/>
      <c r="AP107" s="191"/>
      <c r="AQ107" s="191"/>
      <c r="AR107" s="191"/>
      <c r="AS107" s="442" t="e">
        <f>VLOOKUP(DemandaEstrateg_[[#This Row],[Últ. Estado CQ 14.05]],Tabla36[[Estado CQ]:[Estado TI]],3,FALSE)</f>
        <v>#N/A</v>
      </c>
      <c r="AT107" s="385" t="s">
        <v>297</v>
      </c>
      <c r="AU107" s="458" t="s">
        <v>821</v>
      </c>
      <c r="AV107" s="214" t="s">
        <v>822</v>
      </c>
    </row>
    <row r="108" spans="1:48" s="109" customFormat="1" ht="40.5">
      <c r="A108" s="510">
        <v>3300</v>
      </c>
      <c r="B108" s="427" t="s">
        <v>175</v>
      </c>
      <c r="C108" s="427" t="s">
        <v>175</v>
      </c>
      <c r="D108" s="427" t="s">
        <v>175</v>
      </c>
      <c r="E108" s="55" t="s">
        <v>347</v>
      </c>
      <c r="F108" s="508" t="s">
        <v>871</v>
      </c>
      <c r="G108" s="429"/>
      <c r="H108" s="428" t="s">
        <v>814</v>
      </c>
      <c r="I108" s="428" t="s">
        <v>815</v>
      </c>
      <c r="J108" s="428" t="s">
        <v>858</v>
      </c>
      <c r="K108" s="430"/>
      <c r="L108" s="512">
        <v>46141</v>
      </c>
      <c r="M108" s="513" t="s">
        <v>872</v>
      </c>
      <c r="N108" s="427" t="s">
        <v>382</v>
      </c>
      <c r="O108" s="427" t="s">
        <v>382</v>
      </c>
      <c r="P108" s="427" t="s">
        <v>382</v>
      </c>
      <c r="Q108" s="513" t="s">
        <v>97</v>
      </c>
      <c r="R108" s="427" t="s">
        <v>373</v>
      </c>
      <c r="S108" s="427" t="s">
        <v>373</v>
      </c>
      <c r="T108" s="427" t="s">
        <v>373</v>
      </c>
      <c r="U108" s="427">
        <v>2027</v>
      </c>
      <c r="V108" s="427">
        <v>2027</v>
      </c>
      <c r="W108" s="431"/>
      <c r="X108" s="431" t="s">
        <v>818</v>
      </c>
      <c r="Y108" s="431" t="s">
        <v>860</v>
      </c>
      <c r="Z108" s="55" t="s">
        <v>820</v>
      </c>
      <c r="AA108" s="432"/>
      <c r="AB108" s="427"/>
      <c r="AC108" s="427"/>
      <c r="AD108" s="427"/>
      <c r="AE108" s="427"/>
      <c r="AF108" s="435"/>
      <c r="AG108" s="436"/>
      <c r="AH108" s="151">
        <v>46447</v>
      </c>
      <c r="AI108" s="151">
        <v>46605</v>
      </c>
      <c r="AJ108" s="514"/>
      <c r="AK108" s="515"/>
      <c r="AL108" s="515"/>
      <c r="AM108" s="440" t="e">
        <f>IF(DemandaEstrateg_[[#This Row],[Tipo de Requerimiento]]="Proyecto",(DemandaEstrateg_[[#This Row],[% Avance ejecutado]]-DemandaEstrateg_[[#This Row],[% Avance Planificado]])/DemandaEstrateg_[[#This Row],[% Avance Planificado]],"No aplica")</f>
        <v>#DIV/0!</v>
      </c>
      <c r="AN108" s="441" t="e">
        <f>IF(DemandaEstrateg_[[#This Row],[Tipo de Requerimiento]]="Proyecto",(DemandaEstrateg_[[#This Row],[% Avance ejecutado]]-DemandaEstrateg_[[#This Row],[% Avance Planificado]])/DemandaEstrateg_[[#This Row],[% Avance Planificado]],"No aplica")</f>
        <v>#DIV/0!</v>
      </c>
      <c r="AO108" s="191"/>
      <c r="AP108" s="191"/>
      <c r="AQ108" s="191"/>
      <c r="AR108" s="191"/>
      <c r="AS108" s="442" t="e">
        <f>VLOOKUP(DemandaEstrateg_[[#This Row],[Últ. Estado CQ 14.05]],Tabla36[[Estado CQ]:[Estado TI]],3,FALSE)</f>
        <v>#N/A</v>
      </c>
      <c r="AT108" s="385" t="s">
        <v>297</v>
      </c>
      <c r="AU108" s="458" t="s">
        <v>821</v>
      </c>
      <c r="AV108" s="214" t="s">
        <v>822</v>
      </c>
    </row>
    <row r="109" spans="1:48" s="109" customFormat="1" ht="40.5">
      <c r="A109" s="510">
        <v>3301</v>
      </c>
      <c r="B109" s="427" t="s">
        <v>175</v>
      </c>
      <c r="C109" s="427" t="s">
        <v>175</v>
      </c>
      <c r="D109" s="427" t="s">
        <v>175</v>
      </c>
      <c r="E109" s="55" t="s">
        <v>347</v>
      </c>
      <c r="F109" s="508" t="s">
        <v>873</v>
      </c>
      <c r="G109" s="429"/>
      <c r="H109" s="428" t="s">
        <v>814</v>
      </c>
      <c r="I109" s="428" t="s">
        <v>815</v>
      </c>
      <c r="J109" s="428" t="s">
        <v>858</v>
      </c>
      <c r="K109" s="430"/>
      <c r="L109" s="512">
        <v>46141</v>
      </c>
      <c r="M109" s="513" t="s">
        <v>874</v>
      </c>
      <c r="N109" s="427" t="s">
        <v>382</v>
      </c>
      <c r="O109" s="427" t="s">
        <v>382</v>
      </c>
      <c r="P109" s="427" t="s">
        <v>382</v>
      </c>
      <c r="Q109" s="513" t="s">
        <v>97</v>
      </c>
      <c r="R109" s="427" t="s">
        <v>373</v>
      </c>
      <c r="S109" s="427" t="s">
        <v>373</v>
      </c>
      <c r="T109" s="427" t="s">
        <v>373</v>
      </c>
      <c r="U109" s="427">
        <v>2027</v>
      </c>
      <c r="V109" s="427">
        <v>2027</v>
      </c>
      <c r="W109" s="431"/>
      <c r="X109" s="431" t="s">
        <v>818</v>
      </c>
      <c r="Y109" s="431" t="s">
        <v>860</v>
      </c>
      <c r="Z109" s="55" t="s">
        <v>820</v>
      </c>
      <c r="AA109" s="432"/>
      <c r="AB109" s="427"/>
      <c r="AC109" s="427"/>
      <c r="AD109" s="427"/>
      <c r="AE109" s="427"/>
      <c r="AF109" s="435"/>
      <c r="AG109" s="436"/>
      <c r="AH109" s="151">
        <v>46436</v>
      </c>
      <c r="AI109" s="151">
        <v>46532</v>
      </c>
      <c r="AJ109" s="514"/>
      <c r="AK109" s="515"/>
      <c r="AL109" s="515"/>
      <c r="AM109" s="440" t="e">
        <f>IF(DemandaEstrateg_[[#This Row],[Tipo de Requerimiento]]="Proyecto",(DemandaEstrateg_[[#This Row],[% Avance ejecutado]]-DemandaEstrateg_[[#This Row],[% Avance Planificado]])/DemandaEstrateg_[[#This Row],[% Avance Planificado]],"No aplica")</f>
        <v>#DIV/0!</v>
      </c>
      <c r="AN109" s="441" t="e">
        <f>IF(DemandaEstrateg_[[#This Row],[Tipo de Requerimiento]]="Proyecto",(DemandaEstrateg_[[#This Row],[% Avance ejecutado]]-DemandaEstrateg_[[#This Row],[% Avance Planificado]])/DemandaEstrateg_[[#This Row],[% Avance Planificado]],"No aplica")</f>
        <v>#DIV/0!</v>
      </c>
      <c r="AO109" s="191"/>
      <c r="AP109" s="191"/>
      <c r="AQ109" s="191"/>
      <c r="AR109" s="191"/>
      <c r="AS109" s="442" t="e">
        <f>VLOOKUP(DemandaEstrateg_[[#This Row],[Últ. Estado CQ 14.05]],Tabla36[[Estado CQ]:[Estado TI]],3,FALSE)</f>
        <v>#N/A</v>
      </c>
      <c r="AT109" s="385" t="s">
        <v>297</v>
      </c>
      <c r="AU109" s="458" t="s">
        <v>821</v>
      </c>
      <c r="AV109" s="214" t="s">
        <v>822</v>
      </c>
    </row>
    <row r="110" spans="1:48" s="109" customFormat="1" ht="40.5">
      <c r="A110" s="510">
        <v>3302</v>
      </c>
      <c r="B110" s="427" t="s">
        <v>175</v>
      </c>
      <c r="C110" s="427" t="s">
        <v>175</v>
      </c>
      <c r="D110" s="427" t="s">
        <v>175</v>
      </c>
      <c r="E110" s="55" t="s">
        <v>347</v>
      </c>
      <c r="F110" s="508" t="s">
        <v>875</v>
      </c>
      <c r="G110" s="429"/>
      <c r="H110" s="428" t="s">
        <v>814</v>
      </c>
      <c r="I110" s="428" t="s">
        <v>815</v>
      </c>
      <c r="J110" s="428" t="s">
        <v>858</v>
      </c>
      <c r="K110" s="430"/>
      <c r="L110" s="512">
        <v>46141</v>
      </c>
      <c r="M110" s="513" t="s">
        <v>876</v>
      </c>
      <c r="N110" s="427" t="s">
        <v>382</v>
      </c>
      <c r="O110" s="427" t="s">
        <v>382</v>
      </c>
      <c r="P110" s="427" t="s">
        <v>382</v>
      </c>
      <c r="Q110" s="513" t="s">
        <v>97</v>
      </c>
      <c r="R110" s="427" t="s">
        <v>373</v>
      </c>
      <c r="S110" s="427" t="s">
        <v>373</v>
      </c>
      <c r="T110" s="427" t="s">
        <v>373</v>
      </c>
      <c r="U110" s="427">
        <v>2027</v>
      </c>
      <c r="V110" s="427">
        <v>2027</v>
      </c>
      <c r="W110" s="431"/>
      <c r="X110" s="431" t="s">
        <v>818</v>
      </c>
      <c r="Y110" s="431" t="s">
        <v>860</v>
      </c>
      <c r="Z110" s="55" t="s">
        <v>820</v>
      </c>
      <c r="AA110" s="432"/>
      <c r="AB110" s="427"/>
      <c r="AC110" s="427"/>
      <c r="AD110" s="427"/>
      <c r="AE110" s="427"/>
      <c r="AF110" s="435"/>
      <c r="AG110" s="436"/>
      <c r="AH110" s="151">
        <v>46436</v>
      </c>
      <c r="AI110" s="151">
        <v>46622</v>
      </c>
      <c r="AJ110" s="514"/>
      <c r="AK110" s="515"/>
      <c r="AL110" s="515"/>
      <c r="AM110" s="440" t="e">
        <f>IF(DemandaEstrateg_[[#This Row],[Tipo de Requerimiento]]="Proyecto",(DemandaEstrateg_[[#This Row],[% Avance ejecutado]]-DemandaEstrateg_[[#This Row],[% Avance Planificado]])/DemandaEstrateg_[[#This Row],[% Avance Planificado]],"No aplica")</f>
        <v>#DIV/0!</v>
      </c>
      <c r="AN110" s="441" t="e">
        <f>IF(DemandaEstrateg_[[#This Row],[Tipo de Requerimiento]]="Proyecto",(DemandaEstrateg_[[#This Row],[% Avance ejecutado]]-DemandaEstrateg_[[#This Row],[% Avance Planificado]])/DemandaEstrateg_[[#This Row],[% Avance Planificado]],"No aplica")</f>
        <v>#DIV/0!</v>
      </c>
      <c r="AO110" s="191"/>
      <c r="AP110" s="191"/>
      <c r="AQ110" s="191"/>
      <c r="AR110" s="191"/>
      <c r="AS110" s="442" t="e">
        <f>VLOOKUP(DemandaEstrateg_[[#This Row],[Últ. Estado CQ 14.05]],Tabla36[[Estado CQ]:[Estado TI]],3,FALSE)</f>
        <v>#N/A</v>
      </c>
      <c r="AT110" s="385" t="s">
        <v>297</v>
      </c>
      <c r="AU110" s="458" t="s">
        <v>821</v>
      </c>
      <c r="AV110" s="214" t="s">
        <v>822</v>
      </c>
    </row>
    <row r="111" spans="1:48" s="109" customFormat="1" ht="40.5">
      <c r="A111" s="510">
        <v>3303</v>
      </c>
      <c r="B111" s="427" t="s">
        <v>175</v>
      </c>
      <c r="C111" s="427" t="s">
        <v>175</v>
      </c>
      <c r="D111" s="427" t="s">
        <v>175</v>
      </c>
      <c r="E111" s="55" t="s">
        <v>347</v>
      </c>
      <c r="F111" s="508" t="s">
        <v>877</v>
      </c>
      <c r="G111" s="429"/>
      <c r="H111" s="428" t="s">
        <v>814</v>
      </c>
      <c r="I111" s="428" t="s">
        <v>815</v>
      </c>
      <c r="J111" s="428" t="s">
        <v>858</v>
      </c>
      <c r="K111" s="430"/>
      <c r="L111" s="512">
        <v>46141</v>
      </c>
      <c r="M111" s="513" t="s">
        <v>878</v>
      </c>
      <c r="N111" s="427" t="s">
        <v>382</v>
      </c>
      <c r="O111" s="427" t="s">
        <v>382</v>
      </c>
      <c r="P111" s="427" t="s">
        <v>382</v>
      </c>
      <c r="Q111" s="513" t="s">
        <v>97</v>
      </c>
      <c r="R111" s="427" t="s">
        <v>373</v>
      </c>
      <c r="S111" s="427" t="s">
        <v>373</v>
      </c>
      <c r="T111" s="427" t="s">
        <v>373</v>
      </c>
      <c r="U111" s="427">
        <v>2028</v>
      </c>
      <c r="V111" s="427">
        <v>2028</v>
      </c>
      <c r="W111" s="431"/>
      <c r="X111" s="431" t="s">
        <v>818</v>
      </c>
      <c r="Y111" s="431" t="s">
        <v>860</v>
      </c>
      <c r="Z111" s="55" t="s">
        <v>820</v>
      </c>
      <c r="AA111" s="432"/>
      <c r="AB111" s="427"/>
      <c r="AC111" s="427"/>
      <c r="AD111" s="427"/>
      <c r="AE111" s="427"/>
      <c r="AF111" s="435"/>
      <c r="AG111" s="436"/>
      <c r="AH111" s="151">
        <v>46797</v>
      </c>
      <c r="AI111" s="151">
        <v>46860</v>
      </c>
      <c r="AJ111" s="514"/>
      <c r="AK111" s="515"/>
      <c r="AL111" s="515"/>
      <c r="AM111" s="440" t="e">
        <f>IF(DemandaEstrateg_[[#This Row],[Tipo de Requerimiento]]="Proyecto",(DemandaEstrateg_[[#This Row],[% Avance ejecutado]]-DemandaEstrateg_[[#This Row],[% Avance Planificado]])/DemandaEstrateg_[[#This Row],[% Avance Planificado]],"No aplica")</f>
        <v>#DIV/0!</v>
      </c>
      <c r="AN111" s="441" t="e">
        <f>IF(DemandaEstrateg_[[#This Row],[Tipo de Requerimiento]]="Proyecto",(DemandaEstrateg_[[#This Row],[% Avance ejecutado]]-DemandaEstrateg_[[#This Row],[% Avance Planificado]])/DemandaEstrateg_[[#This Row],[% Avance Planificado]],"No aplica")</f>
        <v>#DIV/0!</v>
      </c>
      <c r="AO111" s="191"/>
      <c r="AP111" s="191"/>
      <c r="AQ111" s="191"/>
      <c r="AR111" s="191"/>
      <c r="AS111" s="442" t="e">
        <f>VLOOKUP(DemandaEstrateg_[[#This Row],[Últ. Estado CQ 14.05]],Tabla36[[Estado CQ]:[Estado TI]],3,FALSE)</f>
        <v>#N/A</v>
      </c>
      <c r="AT111" s="385" t="s">
        <v>297</v>
      </c>
      <c r="AU111" s="458" t="s">
        <v>821</v>
      </c>
      <c r="AV111" s="214" t="s">
        <v>822</v>
      </c>
    </row>
    <row r="112" spans="1:48" s="109" customFormat="1" ht="40.5">
      <c r="A112" s="510">
        <v>3304</v>
      </c>
      <c r="B112" s="427" t="s">
        <v>175</v>
      </c>
      <c r="C112" s="427" t="s">
        <v>175</v>
      </c>
      <c r="D112" s="427" t="s">
        <v>175</v>
      </c>
      <c r="E112" s="55" t="s">
        <v>347</v>
      </c>
      <c r="F112" s="508" t="s">
        <v>879</v>
      </c>
      <c r="G112" s="429"/>
      <c r="H112" s="428" t="s">
        <v>814</v>
      </c>
      <c r="I112" s="428" t="s">
        <v>815</v>
      </c>
      <c r="J112" s="428" t="s">
        <v>858</v>
      </c>
      <c r="K112" s="430"/>
      <c r="L112" s="512">
        <v>46141</v>
      </c>
      <c r="M112" s="513" t="s">
        <v>880</v>
      </c>
      <c r="N112" s="427" t="s">
        <v>382</v>
      </c>
      <c r="O112" s="427" t="s">
        <v>382</v>
      </c>
      <c r="P112" s="427" t="s">
        <v>382</v>
      </c>
      <c r="Q112" s="513" t="s">
        <v>97</v>
      </c>
      <c r="R112" s="427" t="s">
        <v>373</v>
      </c>
      <c r="S112" s="427" t="s">
        <v>373</v>
      </c>
      <c r="T112" s="427" t="s">
        <v>373</v>
      </c>
      <c r="U112" s="427">
        <v>2026</v>
      </c>
      <c r="V112" s="427">
        <v>2027</v>
      </c>
      <c r="W112" s="431"/>
      <c r="X112" s="431" t="s">
        <v>818</v>
      </c>
      <c r="Y112" s="431" t="s">
        <v>860</v>
      </c>
      <c r="Z112" s="55" t="s">
        <v>820</v>
      </c>
      <c r="AA112" s="432"/>
      <c r="AB112" s="427"/>
      <c r="AC112" s="427"/>
      <c r="AD112" s="427"/>
      <c r="AE112" s="427"/>
      <c r="AF112" s="435"/>
      <c r="AG112" s="436"/>
      <c r="AH112" s="151">
        <v>46351</v>
      </c>
      <c r="AI112" s="151">
        <v>46584</v>
      </c>
      <c r="AJ112" s="514"/>
      <c r="AK112" s="515"/>
      <c r="AL112" s="515"/>
      <c r="AM112" s="440" t="e">
        <f>IF(DemandaEstrateg_[[#This Row],[Tipo de Requerimiento]]="Proyecto",(DemandaEstrateg_[[#This Row],[% Avance ejecutado]]-DemandaEstrateg_[[#This Row],[% Avance Planificado]])/DemandaEstrateg_[[#This Row],[% Avance Planificado]],"No aplica")</f>
        <v>#DIV/0!</v>
      </c>
      <c r="AN112" s="441" t="e">
        <f>IF(DemandaEstrateg_[[#This Row],[Tipo de Requerimiento]]="Proyecto",(DemandaEstrateg_[[#This Row],[% Avance ejecutado]]-DemandaEstrateg_[[#This Row],[% Avance Planificado]])/DemandaEstrateg_[[#This Row],[% Avance Planificado]],"No aplica")</f>
        <v>#DIV/0!</v>
      </c>
      <c r="AO112" s="191"/>
      <c r="AP112" s="191"/>
      <c r="AQ112" s="191"/>
      <c r="AR112" s="191"/>
      <c r="AS112" s="442" t="e">
        <f>VLOOKUP(DemandaEstrateg_[[#This Row],[Últ. Estado CQ 14.05]],Tabla36[[Estado CQ]:[Estado TI]],3,FALSE)</f>
        <v>#N/A</v>
      </c>
      <c r="AT112" s="385" t="s">
        <v>297</v>
      </c>
      <c r="AU112" s="458" t="s">
        <v>821</v>
      </c>
      <c r="AV112" s="214" t="s">
        <v>822</v>
      </c>
    </row>
    <row r="113" spans="1:48" s="109" customFormat="1" ht="40.5">
      <c r="A113" s="510">
        <v>3305</v>
      </c>
      <c r="B113" s="427" t="s">
        <v>175</v>
      </c>
      <c r="C113" s="427" t="s">
        <v>175</v>
      </c>
      <c r="D113" s="427" t="s">
        <v>175</v>
      </c>
      <c r="E113" s="55" t="s">
        <v>347</v>
      </c>
      <c r="F113" s="508" t="s">
        <v>881</v>
      </c>
      <c r="G113" s="429"/>
      <c r="H113" s="428" t="s">
        <v>814</v>
      </c>
      <c r="I113" s="428" t="s">
        <v>815</v>
      </c>
      <c r="J113" s="428" t="s">
        <v>858</v>
      </c>
      <c r="K113" s="430"/>
      <c r="L113" s="512">
        <v>46141</v>
      </c>
      <c r="M113" s="513" t="s">
        <v>882</v>
      </c>
      <c r="N113" s="427" t="s">
        <v>382</v>
      </c>
      <c r="O113" s="427" t="s">
        <v>382</v>
      </c>
      <c r="P113" s="427" t="s">
        <v>382</v>
      </c>
      <c r="Q113" s="513" t="s">
        <v>97</v>
      </c>
      <c r="R113" s="427" t="s">
        <v>373</v>
      </c>
      <c r="S113" s="427" t="s">
        <v>373</v>
      </c>
      <c r="T113" s="427" t="s">
        <v>373</v>
      </c>
      <c r="U113" s="427">
        <v>2026</v>
      </c>
      <c r="V113" s="427">
        <v>2027</v>
      </c>
      <c r="W113" s="431"/>
      <c r="X113" s="431" t="s">
        <v>818</v>
      </c>
      <c r="Y113" s="431" t="s">
        <v>860</v>
      </c>
      <c r="Z113" s="55" t="s">
        <v>820</v>
      </c>
      <c r="AA113" s="432"/>
      <c r="AB113" s="427"/>
      <c r="AC113" s="427"/>
      <c r="AD113" s="427"/>
      <c r="AE113" s="427"/>
      <c r="AF113" s="435"/>
      <c r="AG113" s="436"/>
      <c r="AH113" s="151">
        <v>46351</v>
      </c>
      <c r="AI113" s="151">
        <v>46527</v>
      </c>
      <c r="AJ113" s="514"/>
      <c r="AK113" s="515"/>
      <c r="AL113" s="515"/>
      <c r="AM113" s="440" t="e">
        <f>IF(DemandaEstrateg_[[#This Row],[Tipo de Requerimiento]]="Proyecto",(DemandaEstrateg_[[#This Row],[% Avance ejecutado]]-DemandaEstrateg_[[#This Row],[% Avance Planificado]])/DemandaEstrateg_[[#This Row],[% Avance Planificado]],"No aplica")</f>
        <v>#DIV/0!</v>
      </c>
      <c r="AN113" s="441" t="e">
        <f>IF(DemandaEstrateg_[[#This Row],[Tipo de Requerimiento]]="Proyecto",(DemandaEstrateg_[[#This Row],[% Avance ejecutado]]-DemandaEstrateg_[[#This Row],[% Avance Planificado]])/DemandaEstrateg_[[#This Row],[% Avance Planificado]],"No aplica")</f>
        <v>#DIV/0!</v>
      </c>
      <c r="AO113" s="191"/>
      <c r="AP113" s="191"/>
      <c r="AQ113" s="191"/>
      <c r="AR113" s="191"/>
      <c r="AS113" s="442" t="e">
        <f>VLOOKUP(DemandaEstrateg_[[#This Row],[Últ. Estado CQ 14.05]],Tabla36[[Estado CQ]:[Estado TI]],3,FALSE)</f>
        <v>#N/A</v>
      </c>
      <c r="AT113" s="385" t="s">
        <v>297</v>
      </c>
      <c r="AU113" s="458" t="s">
        <v>821</v>
      </c>
      <c r="AV113" s="214" t="s">
        <v>822</v>
      </c>
    </row>
    <row r="114" spans="1:48" s="109" customFormat="1" ht="40.5">
      <c r="A114" s="510">
        <v>3306</v>
      </c>
      <c r="B114" s="427" t="s">
        <v>175</v>
      </c>
      <c r="C114" s="427" t="s">
        <v>175</v>
      </c>
      <c r="D114" s="427" t="s">
        <v>175</v>
      </c>
      <c r="E114" s="55" t="s">
        <v>347</v>
      </c>
      <c r="F114" s="508" t="s">
        <v>883</v>
      </c>
      <c r="G114" s="429"/>
      <c r="H114" s="428" t="s">
        <v>814</v>
      </c>
      <c r="I114" s="428" t="s">
        <v>815</v>
      </c>
      <c r="J114" s="428" t="s">
        <v>858</v>
      </c>
      <c r="K114" s="430"/>
      <c r="L114" s="512">
        <v>46141</v>
      </c>
      <c r="M114" s="513" t="s">
        <v>884</v>
      </c>
      <c r="N114" s="427" t="s">
        <v>382</v>
      </c>
      <c r="O114" s="427" t="s">
        <v>382</v>
      </c>
      <c r="P114" s="427" t="s">
        <v>382</v>
      </c>
      <c r="Q114" s="513" t="s">
        <v>97</v>
      </c>
      <c r="R114" s="427" t="s">
        <v>373</v>
      </c>
      <c r="S114" s="427" t="s">
        <v>373</v>
      </c>
      <c r="T114" s="427" t="s">
        <v>373</v>
      </c>
      <c r="U114" s="427">
        <v>2026</v>
      </c>
      <c r="V114" s="427">
        <v>2027</v>
      </c>
      <c r="W114" s="431"/>
      <c r="X114" s="431" t="s">
        <v>818</v>
      </c>
      <c r="Y114" s="431" t="s">
        <v>860</v>
      </c>
      <c r="Z114" s="55" t="s">
        <v>820</v>
      </c>
      <c r="AA114" s="432"/>
      <c r="AB114" s="427"/>
      <c r="AC114" s="427"/>
      <c r="AD114" s="427"/>
      <c r="AE114" s="427"/>
      <c r="AF114" s="435"/>
      <c r="AG114" s="436"/>
      <c r="AH114" s="151">
        <v>46370</v>
      </c>
      <c r="AI114" s="151">
        <v>46479</v>
      </c>
      <c r="AJ114" s="514"/>
      <c r="AK114" s="515"/>
      <c r="AL114" s="515"/>
      <c r="AM114" s="440" t="e">
        <f>IF(DemandaEstrateg_[[#This Row],[Tipo de Requerimiento]]="Proyecto",(DemandaEstrateg_[[#This Row],[% Avance ejecutado]]-DemandaEstrateg_[[#This Row],[% Avance Planificado]])/DemandaEstrateg_[[#This Row],[% Avance Planificado]],"No aplica")</f>
        <v>#DIV/0!</v>
      </c>
      <c r="AN114" s="441" t="e">
        <f>IF(DemandaEstrateg_[[#This Row],[Tipo de Requerimiento]]="Proyecto",(DemandaEstrateg_[[#This Row],[% Avance ejecutado]]-DemandaEstrateg_[[#This Row],[% Avance Planificado]])/DemandaEstrateg_[[#This Row],[% Avance Planificado]],"No aplica")</f>
        <v>#DIV/0!</v>
      </c>
      <c r="AO114" s="191"/>
      <c r="AP114" s="191"/>
      <c r="AQ114" s="191"/>
      <c r="AR114" s="191"/>
      <c r="AS114" s="442" t="e">
        <f>VLOOKUP(DemandaEstrateg_[[#This Row],[Últ. Estado CQ 14.05]],Tabla36[[Estado CQ]:[Estado TI]],3,FALSE)</f>
        <v>#N/A</v>
      </c>
      <c r="AT114" s="385" t="s">
        <v>297</v>
      </c>
      <c r="AU114" s="458" t="s">
        <v>821</v>
      </c>
      <c r="AV114" s="214" t="s">
        <v>822</v>
      </c>
    </row>
    <row r="115" spans="1:48" s="109" customFormat="1" ht="40.5">
      <c r="A115" s="511">
        <v>3307</v>
      </c>
      <c r="B115" s="427" t="s">
        <v>175</v>
      </c>
      <c r="C115" s="427" t="s">
        <v>175</v>
      </c>
      <c r="D115" s="427" t="s">
        <v>175</v>
      </c>
      <c r="E115" s="55" t="s">
        <v>347</v>
      </c>
      <c r="F115" s="509" t="s">
        <v>885</v>
      </c>
      <c r="G115" s="301"/>
      <c r="H115" s="300" t="s">
        <v>814</v>
      </c>
      <c r="I115" s="300" t="s">
        <v>815</v>
      </c>
      <c r="J115" s="428" t="s">
        <v>858</v>
      </c>
      <c r="K115" s="302"/>
      <c r="L115" s="512">
        <v>46141</v>
      </c>
      <c r="M115" s="513" t="s">
        <v>886</v>
      </c>
      <c r="N115" s="427" t="s">
        <v>382</v>
      </c>
      <c r="O115" s="427" t="s">
        <v>382</v>
      </c>
      <c r="P115" s="427" t="s">
        <v>382</v>
      </c>
      <c r="Q115" s="513" t="s">
        <v>97</v>
      </c>
      <c r="R115" s="427" t="s">
        <v>373</v>
      </c>
      <c r="S115" s="427" t="s">
        <v>373</v>
      </c>
      <c r="T115" s="427" t="s">
        <v>373</v>
      </c>
      <c r="U115" s="427">
        <v>2026</v>
      </c>
      <c r="V115" s="427">
        <v>2027</v>
      </c>
      <c r="W115" s="303"/>
      <c r="X115" s="431" t="s">
        <v>818</v>
      </c>
      <c r="Y115" s="431" t="s">
        <v>860</v>
      </c>
      <c r="Z115" s="55" t="s">
        <v>820</v>
      </c>
      <c r="AA115" s="304"/>
      <c r="AB115" s="299"/>
      <c r="AC115" s="299"/>
      <c r="AD115" s="299"/>
      <c r="AE115" s="299"/>
      <c r="AF115" s="306"/>
      <c r="AG115" s="307"/>
      <c r="AH115" s="151">
        <v>46290</v>
      </c>
      <c r="AI115" s="151">
        <v>46400</v>
      </c>
      <c r="AJ115" s="516"/>
      <c r="AK115" s="517"/>
      <c r="AL115" s="517"/>
      <c r="AM115" s="309" t="e">
        <f>IF(DemandaEstrateg_[[#This Row],[Tipo de Requerimiento]]="Proyecto",(DemandaEstrateg_[[#This Row],[% Avance ejecutado]]-DemandaEstrateg_[[#This Row],[% Avance Planificado]])/DemandaEstrateg_[[#This Row],[% Avance Planificado]],"No aplica")</f>
        <v>#DIV/0!</v>
      </c>
      <c r="AN115" s="310" t="e">
        <f>IF(DemandaEstrateg_[[#This Row],[Tipo de Requerimiento]]="Proyecto",(DemandaEstrateg_[[#This Row],[% Avance ejecutado]]-DemandaEstrateg_[[#This Row],[% Avance Planificado]])/DemandaEstrateg_[[#This Row],[% Avance Planificado]],"No aplica")</f>
        <v>#DIV/0!</v>
      </c>
      <c r="AO115" s="311"/>
      <c r="AP115" s="311"/>
      <c r="AQ115" s="311"/>
      <c r="AR115" s="311"/>
      <c r="AS115" s="390" t="e">
        <f>VLOOKUP(DemandaEstrateg_[[#This Row],[Últ. Estado CQ 14.05]],Tabla36[[Estado CQ]:[Estado TI]],3,FALSE)</f>
        <v>#N/A</v>
      </c>
      <c r="AT115" s="385" t="s">
        <v>297</v>
      </c>
      <c r="AU115" s="458" t="s">
        <v>821</v>
      </c>
      <c r="AV115" s="214" t="s">
        <v>822</v>
      </c>
    </row>
    <row r="116" spans="1:48" s="109" customFormat="1" ht="12.75">
      <c r="A116" s="57"/>
      <c r="E116" s="57"/>
      <c r="F116" s="209"/>
      <c r="G116" s="209"/>
      <c r="H116" s="62"/>
      <c r="I116" s="62"/>
      <c r="J116" s="62"/>
      <c r="K116" s="62"/>
      <c r="L116" s="117"/>
      <c r="Q116" s="57"/>
      <c r="AB116" s="62"/>
      <c r="AC116" s="62"/>
      <c r="AG116" s="57"/>
      <c r="AR116" s="111"/>
      <c r="AU116" s="118"/>
    </row>
    <row r="117" spans="1:48" s="109" customFormat="1" ht="12.75">
      <c r="A117" s="57"/>
      <c r="E117" s="57"/>
      <c r="F117" s="209"/>
      <c r="G117" s="209"/>
      <c r="H117" s="62"/>
      <c r="I117" s="62"/>
      <c r="J117" s="62"/>
      <c r="K117" s="62"/>
      <c r="L117" s="117"/>
      <c r="Q117" s="57"/>
      <c r="AB117" s="62"/>
      <c r="AC117" s="62"/>
      <c r="AG117" s="57"/>
      <c r="AR117" s="111"/>
      <c r="AU117" s="118"/>
    </row>
    <row r="118" spans="1:48" s="109" customFormat="1" ht="12.75">
      <c r="A118" s="57"/>
      <c r="E118" s="57"/>
      <c r="F118" s="209"/>
      <c r="G118" s="209"/>
      <c r="H118" s="62"/>
      <c r="I118" s="62"/>
      <c r="J118" s="62"/>
      <c r="K118" s="62"/>
      <c r="L118" s="117"/>
      <c r="Q118" s="57"/>
      <c r="AB118" s="62"/>
      <c r="AC118" s="62"/>
      <c r="AG118" s="57"/>
      <c r="AR118" s="111"/>
      <c r="AU118" s="118"/>
    </row>
    <row r="119" spans="1:48" s="109" customFormat="1" ht="12.75">
      <c r="A119" s="57"/>
      <c r="E119" s="57"/>
      <c r="F119" s="209"/>
      <c r="G119" s="209"/>
      <c r="H119" s="62"/>
      <c r="I119" s="62"/>
      <c r="J119" s="62"/>
      <c r="K119" s="62"/>
      <c r="L119" s="117"/>
      <c r="Q119" s="57"/>
      <c r="AB119" s="62"/>
      <c r="AC119" s="62"/>
      <c r="AG119" s="57"/>
      <c r="AR119" s="111"/>
      <c r="AU119" s="118"/>
    </row>
    <row r="120" spans="1:48" s="109" customFormat="1" ht="12.75">
      <c r="A120" s="57"/>
      <c r="E120" s="57"/>
      <c r="F120" s="209"/>
      <c r="G120" s="209"/>
      <c r="H120" s="62"/>
      <c r="I120" s="62"/>
      <c r="J120" s="62"/>
      <c r="K120" s="62"/>
      <c r="L120" s="117"/>
      <c r="Q120" s="57"/>
      <c r="AB120" s="62"/>
      <c r="AC120" s="62"/>
      <c r="AG120" s="57"/>
      <c r="AR120" s="111"/>
      <c r="AU120" s="118"/>
    </row>
    <row r="121" spans="1:48" s="109" customFormat="1" ht="12.75">
      <c r="A121" s="57"/>
      <c r="E121" s="57"/>
      <c r="F121" s="209"/>
      <c r="G121" s="209"/>
      <c r="H121" s="62"/>
      <c r="I121" s="62"/>
      <c r="J121" s="62"/>
      <c r="K121" s="62"/>
      <c r="L121" s="117"/>
      <c r="Q121" s="57"/>
      <c r="AB121" s="62"/>
      <c r="AC121" s="62"/>
      <c r="AG121" s="57"/>
      <c r="AR121" s="111"/>
      <c r="AU121" s="118"/>
    </row>
    <row r="122" spans="1:48" s="109" customFormat="1" ht="12.75">
      <c r="A122" s="57"/>
      <c r="E122" s="57"/>
      <c r="F122" s="209"/>
      <c r="G122" s="209"/>
      <c r="H122" s="62"/>
      <c r="I122" s="62"/>
      <c r="J122" s="62"/>
      <c r="K122" s="62"/>
      <c r="L122" s="117"/>
      <c r="Q122" s="57"/>
      <c r="AB122" s="62"/>
      <c r="AC122" s="62"/>
      <c r="AG122" s="57"/>
      <c r="AR122" s="111"/>
      <c r="AU122" s="118"/>
    </row>
    <row r="123" spans="1:48" s="109" customFormat="1" ht="12.75">
      <c r="A123" s="57"/>
      <c r="E123" s="57"/>
      <c r="F123" s="209"/>
      <c r="G123" s="209"/>
      <c r="H123" s="62"/>
      <c r="I123" s="62"/>
      <c r="J123" s="62"/>
      <c r="K123" s="62"/>
      <c r="L123" s="117"/>
      <c r="Q123" s="57"/>
      <c r="AB123" s="62"/>
      <c r="AC123" s="62"/>
      <c r="AG123" s="57"/>
      <c r="AR123" s="111"/>
      <c r="AU123" s="118"/>
    </row>
    <row r="124" spans="1:48" s="109" customFormat="1" ht="12.75">
      <c r="A124" s="57"/>
      <c r="E124" s="57"/>
      <c r="F124" s="209"/>
      <c r="G124" s="209"/>
      <c r="H124" s="62"/>
      <c r="I124" s="62"/>
      <c r="J124" s="62"/>
      <c r="K124" s="62"/>
      <c r="L124" s="117"/>
      <c r="Q124" s="57"/>
      <c r="AB124" s="62"/>
      <c r="AC124" s="62"/>
      <c r="AG124" s="57"/>
      <c r="AR124" s="111"/>
      <c r="AU124" s="118"/>
    </row>
    <row r="125" spans="1:48" s="109" customFormat="1" ht="12.75">
      <c r="A125" s="57"/>
      <c r="E125" s="57"/>
      <c r="F125" s="209"/>
      <c r="G125" s="209"/>
      <c r="H125" s="62"/>
      <c r="I125" s="62"/>
      <c r="J125" s="62"/>
      <c r="K125" s="62"/>
      <c r="L125" s="117"/>
      <c r="Q125" s="57"/>
      <c r="AB125" s="62"/>
      <c r="AC125" s="62"/>
      <c r="AG125" s="57"/>
      <c r="AR125" s="111"/>
      <c r="AU125" s="118"/>
    </row>
    <row r="126" spans="1:48" s="109" customFormat="1" ht="12.75">
      <c r="A126" s="57"/>
      <c r="E126" s="57"/>
      <c r="F126" s="209"/>
      <c r="G126" s="209"/>
      <c r="H126" s="62"/>
      <c r="I126" s="62"/>
      <c r="J126" s="62"/>
      <c r="K126" s="62"/>
      <c r="L126" s="117"/>
      <c r="Q126" s="57"/>
      <c r="AB126" s="62"/>
      <c r="AC126" s="62"/>
      <c r="AG126" s="57"/>
      <c r="AR126" s="111"/>
      <c r="AU126" s="118"/>
    </row>
    <row r="127" spans="1:48" s="109" customFormat="1" ht="12.75">
      <c r="A127" s="57"/>
      <c r="E127" s="57"/>
      <c r="F127" s="209"/>
      <c r="G127" s="209"/>
      <c r="H127" s="62"/>
      <c r="I127" s="62"/>
      <c r="J127" s="62"/>
      <c r="K127" s="62"/>
      <c r="L127" s="117"/>
      <c r="Q127" s="57"/>
      <c r="AB127" s="62"/>
      <c r="AC127" s="62"/>
      <c r="AG127" s="57"/>
      <c r="AR127" s="111"/>
      <c r="AU127" s="118"/>
    </row>
    <row r="128" spans="1:48" s="109" customFormat="1" ht="12.75">
      <c r="A128" s="57"/>
      <c r="E128" s="57"/>
      <c r="F128" s="209"/>
      <c r="G128" s="209"/>
      <c r="H128" s="62"/>
      <c r="I128" s="62"/>
      <c r="J128" s="62"/>
      <c r="K128" s="62"/>
      <c r="L128" s="117"/>
      <c r="Q128" s="57"/>
      <c r="AB128" s="62"/>
      <c r="AC128" s="62"/>
      <c r="AG128" s="57"/>
      <c r="AR128" s="111"/>
      <c r="AU128" s="118"/>
    </row>
    <row r="129" spans="1:47" s="109" customFormat="1" ht="12.75">
      <c r="A129" s="57"/>
      <c r="E129" s="57"/>
      <c r="F129" s="209"/>
      <c r="G129" s="209"/>
      <c r="H129" s="62"/>
      <c r="I129" s="62"/>
      <c r="J129" s="62"/>
      <c r="K129" s="62"/>
      <c r="L129" s="117"/>
      <c r="Q129" s="57"/>
      <c r="AB129" s="62"/>
      <c r="AC129" s="62"/>
      <c r="AG129" s="57"/>
      <c r="AR129" s="111"/>
      <c r="AU129" s="118"/>
    </row>
    <row r="130" spans="1:47" s="109" customFormat="1" ht="12.75">
      <c r="A130" s="57"/>
      <c r="E130" s="57"/>
      <c r="F130" s="209"/>
      <c r="G130" s="209"/>
      <c r="H130" s="62"/>
      <c r="I130" s="62"/>
      <c r="J130" s="62"/>
      <c r="K130" s="62"/>
      <c r="L130" s="117"/>
      <c r="Q130" s="57"/>
      <c r="AB130" s="62"/>
      <c r="AC130" s="62"/>
      <c r="AG130" s="57"/>
      <c r="AR130" s="111"/>
      <c r="AU130" s="118"/>
    </row>
    <row r="131" spans="1:47" s="109" customFormat="1" ht="12.75">
      <c r="A131" s="57"/>
      <c r="E131" s="57"/>
      <c r="F131" s="209"/>
      <c r="G131" s="209"/>
      <c r="H131" s="62"/>
      <c r="I131" s="62"/>
      <c r="J131" s="62"/>
      <c r="K131" s="62"/>
      <c r="L131" s="117"/>
      <c r="Q131" s="57"/>
      <c r="AB131" s="62"/>
      <c r="AC131" s="62"/>
      <c r="AG131" s="57"/>
      <c r="AR131" s="111"/>
      <c r="AU131" s="118"/>
    </row>
    <row r="132" spans="1:47" s="109" customFormat="1" ht="12.75">
      <c r="A132" s="57"/>
      <c r="E132" s="57"/>
      <c r="F132" s="209"/>
      <c r="G132" s="209"/>
      <c r="H132" s="62"/>
      <c r="I132" s="62"/>
      <c r="J132" s="62"/>
      <c r="K132" s="62"/>
      <c r="L132" s="117"/>
      <c r="Q132" s="57"/>
      <c r="AB132" s="62"/>
      <c r="AC132" s="62"/>
      <c r="AG132" s="57"/>
      <c r="AR132" s="111"/>
      <c r="AU132" s="118"/>
    </row>
    <row r="133" spans="1:47" s="109" customFormat="1" ht="12.75">
      <c r="A133" s="57"/>
      <c r="E133" s="57"/>
      <c r="F133" s="209"/>
      <c r="G133" s="209"/>
      <c r="H133" s="62"/>
      <c r="I133" s="62"/>
      <c r="J133" s="62"/>
      <c r="K133" s="62"/>
      <c r="L133" s="117"/>
      <c r="Q133" s="57"/>
      <c r="AB133" s="62"/>
      <c r="AC133" s="62"/>
      <c r="AG133" s="57"/>
      <c r="AR133" s="111"/>
      <c r="AU133" s="118"/>
    </row>
    <row r="134" spans="1:47" s="109" customFormat="1" ht="12.75">
      <c r="A134" s="57"/>
      <c r="E134" s="57"/>
      <c r="F134" s="209"/>
      <c r="G134" s="209"/>
      <c r="H134" s="62"/>
      <c r="I134" s="62"/>
      <c r="J134" s="62"/>
      <c r="K134" s="62"/>
      <c r="L134" s="117"/>
      <c r="Q134" s="57"/>
      <c r="AB134" s="62"/>
      <c r="AC134" s="62"/>
      <c r="AG134" s="57"/>
      <c r="AR134" s="111"/>
      <c r="AU134" s="118"/>
    </row>
    <row r="135" spans="1:47" s="109" customFormat="1" ht="12.75">
      <c r="A135" s="57"/>
      <c r="E135" s="57"/>
      <c r="F135" s="209"/>
      <c r="G135" s="209"/>
      <c r="H135" s="62"/>
      <c r="I135" s="62"/>
      <c r="J135" s="62"/>
      <c r="K135" s="62"/>
      <c r="L135" s="117"/>
      <c r="Q135" s="57"/>
      <c r="AB135" s="62"/>
      <c r="AC135" s="62"/>
      <c r="AG135" s="57"/>
      <c r="AR135" s="111"/>
      <c r="AU135" s="118"/>
    </row>
    <row r="136" spans="1:47" s="109" customFormat="1" ht="12.75">
      <c r="A136" s="57"/>
      <c r="E136" s="57"/>
      <c r="F136" s="209"/>
      <c r="G136" s="209"/>
      <c r="H136" s="62"/>
      <c r="I136" s="62"/>
      <c r="J136" s="62"/>
      <c r="K136" s="62"/>
      <c r="L136" s="117"/>
      <c r="Q136" s="57"/>
      <c r="AB136" s="62"/>
      <c r="AC136" s="62"/>
      <c r="AG136" s="57"/>
      <c r="AR136" s="111"/>
      <c r="AU136" s="118"/>
    </row>
    <row r="137" spans="1:47" s="109" customFormat="1" ht="12.75">
      <c r="A137" s="57"/>
      <c r="E137" s="57"/>
      <c r="F137" s="209"/>
      <c r="G137" s="209"/>
      <c r="H137" s="62"/>
      <c r="I137" s="62"/>
      <c r="J137" s="62"/>
      <c r="K137" s="62"/>
      <c r="L137" s="117"/>
      <c r="Q137" s="57"/>
      <c r="AB137" s="62"/>
      <c r="AC137" s="62"/>
      <c r="AG137" s="57"/>
      <c r="AR137" s="111"/>
      <c r="AU137" s="118"/>
    </row>
    <row r="138" spans="1:47" s="109" customFormat="1" ht="12.75">
      <c r="A138" s="57"/>
      <c r="E138" s="57"/>
      <c r="F138" s="209"/>
      <c r="G138" s="209"/>
      <c r="H138" s="62"/>
      <c r="I138" s="62"/>
      <c r="J138" s="62"/>
      <c r="K138" s="62"/>
      <c r="L138" s="117"/>
      <c r="Q138" s="57"/>
      <c r="AB138" s="62"/>
      <c r="AC138" s="62"/>
      <c r="AG138" s="57"/>
      <c r="AR138" s="111"/>
      <c r="AU138" s="118"/>
    </row>
    <row r="139" spans="1:47" s="109" customFormat="1" ht="12.75">
      <c r="A139" s="57"/>
      <c r="E139" s="57"/>
      <c r="F139" s="209"/>
      <c r="G139" s="209"/>
      <c r="H139" s="62"/>
      <c r="I139" s="62"/>
      <c r="J139" s="62"/>
      <c r="K139" s="62"/>
      <c r="L139" s="117"/>
      <c r="Q139" s="57"/>
      <c r="AB139" s="62"/>
      <c r="AC139" s="62"/>
      <c r="AG139" s="57"/>
      <c r="AR139" s="111"/>
      <c r="AU139" s="118"/>
    </row>
    <row r="140" spans="1:47" s="109" customFormat="1" ht="12.75">
      <c r="A140" s="57"/>
      <c r="E140" s="57"/>
      <c r="F140" s="209"/>
      <c r="G140" s="209"/>
      <c r="H140" s="62"/>
      <c r="I140" s="62"/>
      <c r="J140" s="62"/>
      <c r="K140" s="62"/>
      <c r="L140" s="117"/>
      <c r="Q140" s="57"/>
      <c r="AB140" s="62"/>
      <c r="AC140" s="62"/>
      <c r="AG140" s="57"/>
      <c r="AR140" s="111"/>
      <c r="AU140" s="118"/>
    </row>
    <row r="141" spans="1:47" s="109" customFormat="1" ht="12.75">
      <c r="A141" s="57"/>
      <c r="E141" s="57"/>
      <c r="F141" s="209"/>
      <c r="G141" s="209"/>
      <c r="H141" s="62"/>
      <c r="I141" s="62"/>
      <c r="J141" s="62"/>
      <c r="K141" s="62"/>
      <c r="L141" s="117"/>
      <c r="Q141" s="57"/>
      <c r="AB141" s="62"/>
      <c r="AC141" s="62"/>
      <c r="AG141" s="57"/>
      <c r="AR141" s="111"/>
      <c r="AU141" s="118"/>
    </row>
    <row r="142" spans="1:47" s="109" customFormat="1" ht="12.75">
      <c r="A142" s="57"/>
      <c r="E142" s="57"/>
      <c r="F142" s="209"/>
      <c r="G142" s="209"/>
      <c r="H142" s="62"/>
      <c r="I142" s="62"/>
      <c r="J142" s="62"/>
      <c r="K142" s="62"/>
      <c r="L142" s="117"/>
      <c r="Q142" s="57"/>
      <c r="AB142" s="62"/>
      <c r="AC142" s="62"/>
      <c r="AG142" s="57"/>
      <c r="AR142" s="111"/>
      <c r="AU142" s="118"/>
    </row>
    <row r="143" spans="1:47" s="109" customFormat="1" ht="12.75">
      <c r="A143" s="57"/>
      <c r="E143" s="57"/>
      <c r="F143" s="209"/>
      <c r="G143" s="209"/>
      <c r="H143" s="62"/>
      <c r="I143" s="62"/>
      <c r="J143" s="62"/>
      <c r="K143" s="62"/>
      <c r="L143" s="117"/>
      <c r="Q143" s="57"/>
      <c r="AB143" s="62"/>
      <c r="AC143" s="62"/>
      <c r="AG143" s="57"/>
      <c r="AR143" s="111"/>
      <c r="AU143" s="118"/>
    </row>
    <row r="144" spans="1:47" s="109" customFormat="1" ht="12.75">
      <c r="A144" s="57"/>
      <c r="E144" s="57"/>
      <c r="F144" s="209"/>
      <c r="G144" s="209"/>
      <c r="H144" s="62"/>
      <c r="I144" s="62"/>
      <c r="J144" s="62"/>
      <c r="K144" s="62"/>
      <c r="L144" s="117"/>
      <c r="Q144" s="57"/>
      <c r="AB144" s="62"/>
      <c r="AC144" s="62"/>
      <c r="AG144" s="57"/>
      <c r="AR144" s="111"/>
      <c r="AU144" s="118"/>
    </row>
    <row r="145" spans="1:47" s="109" customFormat="1" ht="12.75">
      <c r="A145" s="57"/>
      <c r="E145" s="57"/>
      <c r="F145" s="209"/>
      <c r="G145" s="209"/>
      <c r="H145" s="62"/>
      <c r="I145" s="62"/>
      <c r="J145" s="62"/>
      <c r="K145" s="62"/>
      <c r="L145" s="117"/>
      <c r="Q145" s="57"/>
      <c r="AB145" s="62"/>
      <c r="AC145" s="62"/>
      <c r="AG145" s="57"/>
      <c r="AR145" s="111"/>
      <c r="AU145" s="118"/>
    </row>
    <row r="146" spans="1:47" s="109" customFormat="1" ht="12.75">
      <c r="A146" s="57"/>
      <c r="E146" s="57"/>
      <c r="F146" s="209"/>
      <c r="G146" s="209"/>
      <c r="H146" s="62"/>
      <c r="I146" s="62"/>
      <c r="J146" s="62"/>
      <c r="K146" s="62"/>
      <c r="L146" s="117"/>
      <c r="Q146" s="57"/>
      <c r="AB146" s="62"/>
      <c r="AC146" s="62"/>
      <c r="AG146" s="57"/>
      <c r="AR146" s="111"/>
      <c r="AU146" s="118"/>
    </row>
    <row r="147" spans="1:47" s="109" customFormat="1" ht="12.75">
      <c r="A147" s="57"/>
      <c r="E147" s="57"/>
      <c r="F147" s="209"/>
      <c r="G147" s="209"/>
      <c r="H147" s="62"/>
      <c r="I147" s="62"/>
      <c r="J147" s="62"/>
      <c r="K147" s="62"/>
      <c r="L147" s="117"/>
      <c r="Q147" s="57"/>
      <c r="AB147" s="62"/>
      <c r="AC147" s="62"/>
      <c r="AG147" s="57"/>
      <c r="AR147" s="111"/>
      <c r="AU147" s="118"/>
    </row>
    <row r="148" spans="1:47" s="109" customFormat="1" ht="12.75">
      <c r="A148" s="57"/>
      <c r="E148" s="57"/>
      <c r="F148" s="209"/>
      <c r="G148" s="209"/>
      <c r="H148" s="62"/>
      <c r="I148" s="62"/>
      <c r="J148" s="62"/>
      <c r="K148" s="62"/>
      <c r="L148" s="117"/>
      <c r="Q148" s="57"/>
      <c r="AB148" s="62"/>
      <c r="AC148" s="62"/>
      <c r="AG148" s="57"/>
      <c r="AR148" s="111"/>
      <c r="AU148" s="118"/>
    </row>
    <row r="149" spans="1:47" s="109" customFormat="1" ht="12.75">
      <c r="A149" s="57"/>
      <c r="E149" s="57"/>
      <c r="F149" s="209"/>
      <c r="G149" s="209"/>
      <c r="H149" s="62"/>
      <c r="I149" s="62"/>
      <c r="J149" s="62"/>
      <c r="K149" s="62"/>
      <c r="L149" s="117"/>
      <c r="Q149" s="57"/>
      <c r="AB149" s="62"/>
      <c r="AC149" s="62"/>
      <c r="AG149" s="57"/>
      <c r="AR149" s="111"/>
      <c r="AU149" s="118"/>
    </row>
    <row r="150" spans="1:47" s="109" customFormat="1" ht="12.75">
      <c r="A150" s="57"/>
      <c r="E150" s="57"/>
      <c r="F150" s="209"/>
      <c r="G150" s="209"/>
      <c r="H150" s="62"/>
      <c r="I150" s="62"/>
      <c r="J150" s="62"/>
      <c r="K150" s="62"/>
      <c r="L150" s="117"/>
      <c r="Q150" s="57"/>
      <c r="AB150" s="62"/>
      <c r="AC150" s="62"/>
      <c r="AG150" s="57"/>
      <c r="AR150" s="111"/>
      <c r="AU150" s="118"/>
    </row>
    <row r="151" spans="1:47" s="109" customFormat="1" ht="12.75">
      <c r="A151" s="57"/>
      <c r="E151" s="57"/>
      <c r="F151" s="209"/>
      <c r="G151" s="209"/>
      <c r="H151" s="62"/>
      <c r="I151" s="62"/>
      <c r="J151" s="62"/>
      <c r="K151" s="62"/>
      <c r="L151" s="117"/>
      <c r="Q151" s="57"/>
      <c r="AB151" s="62"/>
      <c r="AC151" s="62"/>
      <c r="AG151" s="57"/>
      <c r="AR151" s="111"/>
      <c r="AU151" s="118"/>
    </row>
    <row r="152" spans="1:47" s="109" customFormat="1" ht="12.75">
      <c r="A152" s="57"/>
      <c r="E152" s="57"/>
      <c r="F152" s="209"/>
      <c r="G152" s="209"/>
      <c r="H152" s="62"/>
      <c r="I152" s="62"/>
      <c r="J152" s="62"/>
      <c r="K152" s="62"/>
      <c r="L152" s="117"/>
      <c r="Q152" s="57"/>
      <c r="AB152" s="62"/>
      <c r="AC152" s="62"/>
      <c r="AG152" s="57"/>
      <c r="AR152" s="111"/>
      <c r="AU152" s="118"/>
    </row>
    <row r="153" spans="1:47" s="109" customFormat="1" ht="12.75">
      <c r="A153" s="57"/>
      <c r="E153" s="57"/>
      <c r="F153" s="209"/>
      <c r="G153" s="209"/>
      <c r="H153" s="62"/>
      <c r="I153" s="62"/>
      <c r="J153" s="62"/>
      <c r="K153" s="62"/>
      <c r="L153" s="117"/>
      <c r="Q153" s="57"/>
      <c r="AB153" s="62"/>
      <c r="AC153" s="62"/>
      <c r="AG153" s="57"/>
      <c r="AR153" s="111"/>
      <c r="AU153" s="118"/>
    </row>
    <row r="154" spans="1:47" s="109" customFormat="1" ht="12.75">
      <c r="A154" s="57"/>
      <c r="E154" s="57"/>
      <c r="F154" s="209"/>
      <c r="G154" s="209"/>
      <c r="H154" s="62"/>
      <c r="I154" s="62"/>
      <c r="J154" s="62"/>
      <c r="K154" s="62"/>
      <c r="L154" s="117"/>
      <c r="Q154" s="57"/>
      <c r="AB154" s="62"/>
      <c r="AC154" s="62"/>
      <c r="AG154" s="57"/>
      <c r="AR154" s="111"/>
      <c r="AU154" s="118"/>
    </row>
    <row r="155" spans="1:47" s="109" customFormat="1" ht="12.75">
      <c r="A155" s="57"/>
      <c r="E155" s="57"/>
      <c r="F155" s="209"/>
      <c r="G155" s="209"/>
      <c r="H155" s="62"/>
      <c r="I155" s="62"/>
      <c r="J155" s="62"/>
      <c r="K155" s="62"/>
      <c r="L155" s="117"/>
      <c r="Q155" s="57"/>
      <c r="AB155" s="62"/>
      <c r="AC155" s="62"/>
      <c r="AG155" s="57"/>
      <c r="AR155" s="111"/>
      <c r="AU155" s="118"/>
    </row>
    <row r="156" spans="1:47" s="109" customFormat="1" ht="12.75">
      <c r="A156" s="57"/>
      <c r="E156" s="57"/>
      <c r="F156" s="209"/>
      <c r="G156" s="209"/>
      <c r="H156" s="62"/>
      <c r="I156" s="62"/>
      <c r="J156" s="62"/>
      <c r="K156" s="62"/>
      <c r="L156" s="117"/>
      <c r="Q156" s="57"/>
      <c r="AB156" s="62"/>
      <c r="AC156" s="62"/>
      <c r="AG156" s="57"/>
      <c r="AR156" s="111"/>
      <c r="AU156" s="118"/>
    </row>
    <row r="157" spans="1:47" s="109" customFormat="1" ht="12.75">
      <c r="A157" s="57"/>
      <c r="E157" s="57"/>
      <c r="F157" s="209"/>
      <c r="G157" s="209"/>
      <c r="H157" s="62"/>
      <c r="I157" s="62"/>
      <c r="J157" s="62"/>
      <c r="K157" s="62"/>
      <c r="L157" s="117"/>
      <c r="Q157" s="57"/>
      <c r="AB157" s="62"/>
      <c r="AC157" s="62"/>
      <c r="AG157" s="57"/>
      <c r="AR157" s="111"/>
      <c r="AU157" s="118"/>
    </row>
    <row r="158" spans="1:47" s="109" customFormat="1" ht="12.75">
      <c r="A158" s="57"/>
      <c r="E158" s="57"/>
      <c r="F158" s="209"/>
      <c r="G158" s="209"/>
      <c r="H158" s="62"/>
      <c r="I158" s="62"/>
      <c r="J158" s="62"/>
      <c r="K158" s="62"/>
      <c r="L158" s="117"/>
      <c r="Q158" s="57"/>
      <c r="AB158" s="62"/>
      <c r="AC158" s="62"/>
      <c r="AG158" s="57"/>
      <c r="AR158" s="111"/>
      <c r="AU158" s="118"/>
    </row>
    <row r="159" spans="1:47" s="109" customFormat="1" ht="12.75">
      <c r="A159" s="57"/>
      <c r="E159" s="57"/>
      <c r="F159" s="209"/>
      <c r="G159" s="209"/>
      <c r="H159" s="62"/>
      <c r="I159" s="62"/>
      <c r="J159" s="62"/>
      <c r="K159" s="62"/>
      <c r="L159" s="117"/>
      <c r="Q159" s="57"/>
      <c r="AB159" s="62"/>
      <c r="AC159" s="62"/>
      <c r="AG159" s="57"/>
      <c r="AR159" s="111"/>
      <c r="AU159" s="118"/>
    </row>
    <row r="160" spans="1:47" s="109" customFormat="1" ht="12.75">
      <c r="A160" s="57"/>
      <c r="E160" s="57"/>
      <c r="F160" s="209"/>
      <c r="G160" s="209"/>
      <c r="H160" s="62"/>
      <c r="I160" s="62"/>
      <c r="J160" s="62"/>
      <c r="K160" s="62"/>
      <c r="L160" s="117"/>
      <c r="Q160" s="57"/>
      <c r="AB160" s="62"/>
      <c r="AC160" s="62"/>
      <c r="AG160" s="57"/>
      <c r="AR160" s="111"/>
      <c r="AU160" s="118"/>
    </row>
    <row r="161" spans="1:47" s="109" customFormat="1" ht="12.75">
      <c r="A161" s="57"/>
      <c r="E161" s="57"/>
      <c r="F161" s="209"/>
      <c r="G161" s="209"/>
      <c r="H161" s="62"/>
      <c r="I161" s="62"/>
      <c r="J161" s="62"/>
      <c r="K161" s="62"/>
      <c r="L161" s="117"/>
      <c r="Q161" s="57"/>
      <c r="AB161" s="62"/>
      <c r="AC161" s="62"/>
      <c r="AG161" s="57"/>
      <c r="AR161" s="111"/>
      <c r="AU161" s="118"/>
    </row>
    <row r="162" spans="1:47" s="109" customFormat="1" ht="12.75">
      <c r="A162" s="57"/>
      <c r="E162" s="57"/>
      <c r="F162" s="209"/>
      <c r="G162" s="209"/>
      <c r="H162" s="62"/>
      <c r="I162" s="62"/>
      <c r="J162" s="62"/>
      <c r="K162" s="62"/>
      <c r="L162" s="117"/>
      <c r="Q162" s="57"/>
      <c r="AB162" s="62"/>
      <c r="AC162" s="62"/>
      <c r="AG162" s="57"/>
      <c r="AR162" s="111"/>
      <c r="AU162" s="118"/>
    </row>
    <row r="163" spans="1:47" s="109" customFormat="1" ht="12.75">
      <c r="A163" s="57"/>
      <c r="E163" s="57"/>
      <c r="F163" s="209"/>
      <c r="G163" s="209"/>
      <c r="H163" s="62"/>
      <c r="I163" s="62"/>
      <c r="J163" s="62"/>
      <c r="K163" s="62"/>
      <c r="L163" s="117"/>
      <c r="Q163" s="57"/>
      <c r="AB163" s="62"/>
      <c r="AC163" s="62"/>
      <c r="AG163" s="57"/>
      <c r="AR163" s="111"/>
      <c r="AU163" s="118"/>
    </row>
    <row r="164" spans="1:47" s="109" customFormat="1" ht="12.75">
      <c r="A164" s="57"/>
      <c r="E164" s="57"/>
      <c r="F164" s="209"/>
      <c r="G164" s="209"/>
      <c r="H164" s="62"/>
      <c r="I164" s="62"/>
      <c r="J164" s="62"/>
      <c r="K164" s="62"/>
      <c r="L164" s="117"/>
      <c r="Q164" s="57"/>
      <c r="AB164" s="62"/>
      <c r="AC164" s="62"/>
      <c r="AG164" s="57"/>
      <c r="AR164" s="111"/>
      <c r="AU164" s="118"/>
    </row>
    <row r="165" spans="1:47" s="109" customFormat="1" ht="12.75">
      <c r="A165" s="57"/>
      <c r="E165" s="57"/>
      <c r="F165" s="209"/>
      <c r="G165" s="209"/>
      <c r="H165" s="62"/>
      <c r="I165" s="62"/>
      <c r="J165" s="62"/>
      <c r="K165" s="62"/>
      <c r="L165" s="117"/>
      <c r="Q165" s="57"/>
      <c r="AB165" s="62"/>
      <c r="AC165" s="62"/>
      <c r="AG165" s="57"/>
      <c r="AR165" s="111"/>
      <c r="AU165" s="118"/>
    </row>
    <row r="166" spans="1:47" s="109" customFormat="1" ht="12.75">
      <c r="A166" s="57"/>
      <c r="E166" s="57"/>
      <c r="F166" s="209"/>
      <c r="G166" s="209"/>
      <c r="H166" s="62"/>
      <c r="I166" s="62"/>
      <c r="J166" s="62"/>
      <c r="K166" s="62"/>
      <c r="L166" s="117"/>
      <c r="Q166" s="57"/>
      <c r="AB166" s="62"/>
      <c r="AC166" s="62"/>
      <c r="AG166" s="57"/>
      <c r="AR166" s="111"/>
      <c r="AU166" s="118"/>
    </row>
    <row r="167" spans="1:47" s="109" customFormat="1" ht="12.75">
      <c r="A167" s="57"/>
      <c r="E167" s="57"/>
      <c r="F167" s="209"/>
      <c r="G167" s="209"/>
      <c r="H167" s="62"/>
      <c r="I167" s="62"/>
      <c r="J167" s="62"/>
      <c r="K167" s="62"/>
      <c r="L167" s="117"/>
      <c r="Q167" s="57"/>
      <c r="AB167" s="62"/>
      <c r="AC167" s="62"/>
      <c r="AG167" s="57"/>
      <c r="AR167" s="111"/>
      <c r="AU167" s="118"/>
    </row>
    <row r="168" spans="1:47" s="109" customFormat="1" ht="12.75">
      <c r="A168" s="57"/>
      <c r="E168" s="57"/>
      <c r="F168" s="209"/>
      <c r="G168" s="209"/>
      <c r="H168" s="62"/>
      <c r="I168" s="62"/>
      <c r="J168" s="62"/>
      <c r="K168" s="62"/>
      <c r="L168" s="117"/>
      <c r="Q168" s="57"/>
      <c r="AB168" s="62"/>
      <c r="AC168" s="62"/>
      <c r="AG168" s="57"/>
      <c r="AR168" s="111"/>
      <c r="AU168" s="118"/>
    </row>
    <row r="169" spans="1:47" s="109" customFormat="1" ht="12.75">
      <c r="A169" s="57"/>
      <c r="E169" s="57"/>
      <c r="F169" s="209"/>
      <c r="G169" s="209"/>
      <c r="H169" s="62"/>
      <c r="I169" s="62"/>
      <c r="J169" s="62"/>
      <c r="K169" s="62"/>
      <c r="L169" s="117"/>
      <c r="Q169" s="57"/>
      <c r="AB169" s="62"/>
      <c r="AC169" s="62"/>
      <c r="AG169" s="57"/>
      <c r="AR169" s="111"/>
      <c r="AU169" s="118"/>
    </row>
    <row r="170" spans="1:47" s="109" customFormat="1" ht="12.75">
      <c r="A170" s="57"/>
      <c r="E170" s="57"/>
      <c r="F170" s="209"/>
      <c r="G170" s="209"/>
      <c r="H170" s="62"/>
      <c r="I170" s="62"/>
      <c r="J170" s="62"/>
      <c r="K170" s="62"/>
      <c r="L170" s="117"/>
      <c r="Q170" s="57"/>
      <c r="AB170" s="62"/>
      <c r="AC170" s="62"/>
      <c r="AG170" s="57"/>
      <c r="AR170" s="111"/>
      <c r="AU170" s="118"/>
    </row>
    <row r="171" spans="1:47" s="109" customFormat="1" ht="12.75">
      <c r="A171" s="57"/>
      <c r="E171" s="57"/>
      <c r="F171" s="209"/>
      <c r="G171" s="209"/>
      <c r="H171" s="62"/>
      <c r="I171" s="62"/>
      <c r="J171" s="62"/>
      <c r="K171" s="62"/>
      <c r="L171" s="117"/>
      <c r="Q171" s="57"/>
      <c r="AB171" s="62"/>
      <c r="AC171" s="62"/>
      <c r="AG171" s="57"/>
      <c r="AR171" s="111"/>
      <c r="AU171" s="118"/>
    </row>
    <row r="172" spans="1:47" s="109" customFormat="1" ht="12.75">
      <c r="A172" s="57"/>
      <c r="E172" s="57"/>
      <c r="F172" s="209"/>
      <c r="G172" s="209"/>
      <c r="H172" s="62"/>
      <c r="I172" s="62"/>
      <c r="J172" s="62"/>
      <c r="K172" s="62"/>
      <c r="L172" s="117"/>
      <c r="Q172" s="57"/>
      <c r="AB172" s="62"/>
      <c r="AC172" s="62"/>
      <c r="AG172" s="57"/>
      <c r="AR172" s="111"/>
      <c r="AU172" s="118"/>
    </row>
    <row r="173" spans="1:47" s="109" customFormat="1" ht="12.75">
      <c r="A173" s="57"/>
      <c r="E173" s="57"/>
      <c r="F173" s="209"/>
      <c r="G173" s="209"/>
      <c r="H173" s="62"/>
      <c r="I173" s="62"/>
      <c r="J173" s="62"/>
      <c r="K173" s="62"/>
      <c r="L173" s="117"/>
      <c r="Q173" s="57"/>
      <c r="AB173" s="62"/>
      <c r="AC173" s="62"/>
      <c r="AG173" s="57"/>
      <c r="AR173" s="111"/>
      <c r="AU173" s="118"/>
    </row>
    <row r="174" spans="1:47" s="109" customFormat="1" ht="12.75">
      <c r="A174" s="57"/>
      <c r="E174" s="57"/>
      <c r="F174" s="209"/>
      <c r="G174" s="209"/>
      <c r="H174" s="62"/>
      <c r="I174" s="62"/>
      <c r="J174" s="62"/>
      <c r="K174" s="62"/>
      <c r="L174" s="117"/>
      <c r="Q174" s="57"/>
      <c r="AB174" s="62"/>
      <c r="AC174" s="62"/>
      <c r="AG174" s="57"/>
      <c r="AR174" s="111"/>
      <c r="AU174" s="118"/>
    </row>
    <row r="175" spans="1:47" s="109" customFormat="1" ht="12.75">
      <c r="A175" s="57"/>
      <c r="E175" s="57"/>
      <c r="F175" s="209"/>
      <c r="G175" s="209"/>
      <c r="H175" s="62"/>
      <c r="I175" s="62"/>
      <c r="J175" s="62"/>
      <c r="K175" s="62"/>
      <c r="L175" s="117"/>
      <c r="Q175" s="57"/>
      <c r="AB175" s="62"/>
      <c r="AC175" s="62"/>
      <c r="AG175" s="57"/>
      <c r="AR175" s="111"/>
      <c r="AU175" s="118"/>
    </row>
    <row r="176" spans="1:47" s="109" customFormat="1" ht="12.75">
      <c r="A176" s="57"/>
      <c r="E176" s="57"/>
      <c r="F176" s="209"/>
      <c r="G176" s="209"/>
      <c r="H176" s="62"/>
      <c r="I176" s="62"/>
      <c r="J176" s="62"/>
      <c r="K176" s="62"/>
      <c r="L176" s="117"/>
      <c r="Q176" s="57"/>
      <c r="AB176" s="62"/>
      <c r="AC176" s="62"/>
      <c r="AG176" s="57"/>
      <c r="AR176" s="111"/>
      <c r="AU176" s="118"/>
    </row>
    <row r="177" spans="1:47" s="109" customFormat="1" ht="12.75">
      <c r="A177" s="57"/>
      <c r="E177" s="57"/>
      <c r="F177" s="209"/>
      <c r="G177" s="209"/>
      <c r="H177" s="62"/>
      <c r="I177" s="62"/>
      <c r="J177" s="62"/>
      <c r="K177" s="62"/>
      <c r="L177" s="117"/>
      <c r="Q177" s="57"/>
      <c r="AB177" s="62"/>
      <c r="AC177" s="62"/>
      <c r="AG177" s="57"/>
      <c r="AR177" s="111"/>
      <c r="AU177" s="118"/>
    </row>
    <row r="178" spans="1:47" s="109" customFormat="1" ht="12.75">
      <c r="A178" s="57"/>
      <c r="E178" s="57"/>
      <c r="F178" s="209"/>
      <c r="G178" s="209"/>
      <c r="H178" s="62"/>
      <c r="I178" s="62"/>
      <c r="J178" s="62"/>
      <c r="K178" s="62"/>
      <c r="L178" s="117"/>
      <c r="Q178" s="57"/>
      <c r="AB178" s="62"/>
      <c r="AC178" s="62"/>
      <c r="AG178" s="57"/>
      <c r="AR178" s="111"/>
      <c r="AU178" s="118"/>
    </row>
    <row r="179" spans="1:47" s="109" customFormat="1" ht="12.75">
      <c r="A179" s="57"/>
      <c r="E179" s="57"/>
      <c r="F179" s="209"/>
      <c r="G179" s="209"/>
      <c r="H179" s="62"/>
      <c r="I179" s="62"/>
      <c r="J179" s="62"/>
      <c r="K179" s="62"/>
      <c r="L179" s="117"/>
      <c r="Q179" s="57"/>
      <c r="AB179" s="62"/>
      <c r="AC179" s="62"/>
      <c r="AG179" s="57"/>
      <c r="AR179" s="111"/>
      <c r="AU179" s="118"/>
    </row>
    <row r="180" spans="1:47" s="109" customFormat="1" ht="12.75">
      <c r="A180" s="57"/>
      <c r="E180" s="57"/>
      <c r="F180" s="209"/>
      <c r="G180" s="209"/>
      <c r="H180" s="62"/>
      <c r="I180" s="62"/>
      <c r="J180" s="62"/>
      <c r="K180" s="62"/>
      <c r="L180" s="117"/>
      <c r="Q180" s="57"/>
      <c r="AB180" s="62"/>
      <c r="AC180" s="62"/>
      <c r="AG180" s="57"/>
      <c r="AR180" s="111"/>
      <c r="AU180" s="118"/>
    </row>
    <row r="181" spans="1:47" s="109" customFormat="1" ht="12.75">
      <c r="A181" s="57"/>
      <c r="E181" s="57"/>
      <c r="F181" s="209"/>
      <c r="G181" s="209"/>
      <c r="H181" s="62"/>
      <c r="I181" s="62"/>
      <c r="J181" s="62"/>
      <c r="K181" s="62"/>
      <c r="L181" s="117"/>
      <c r="Q181" s="57"/>
      <c r="AB181" s="62"/>
      <c r="AC181" s="62"/>
      <c r="AG181" s="57"/>
      <c r="AR181" s="111"/>
      <c r="AU181" s="118"/>
    </row>
    <row r="182" spans="1:47" s="109" customFormat="1" ht="12.75">
      <c r="A182" s="57"/>
      <c r="E182" s="57"/>
      <c r="F182" s="209"/>
      <c r="G182" s="209"/>
      <c r="H182" s="62"/>
      <c r="I182" s="62"/>
      <c r="J182" s="62"/>
      <c r="K182" s="62"/>
      <c r="L182" s="117"/>
      <c r="Q182" s="57"/>
      <c r="AB182" s="62"/>
      <c r="AC182" s="62"/>
      <c r="AG182" s="57"/>
      <c r="AR182" s="111"/>
      <c r="AU182" s="118"/>
    </row>
    <row r="183" spans="1:47" s="109" customFormat="1" ht="12.75">
      <c r="A183" s="57"/>
      <c r="E183" s="57"/>
      <c r="F183" s="209"/>
      <c r="G183" s="209"/>
      <c r="H183" s="62"/>
      <c r="I183" s="62"/>
      <c r="J183" s="62"/>
      <c r="K183" s="62"/>
      <c r="L183" s="117"/>
      <c r="Q183" s="57"/>
      <c r="AB183" s="62"/>
      <c r="AC183" s="62"/>
      <c r="AG183" s="57"/>
      <c r="AR183" s="111"/>
      <c r="AU183" s="118"/>
    </row>
    <row r="184" spans="1:47" s="109" customFormat="1" ht="12.75">
      <c r="A184" s="57"/>
      <c r="E184" s="57"/>
      <c r="F184" s="209"/>
      <c r="G184" s="209"/>
      <c r="H184" s="62"/>
      <c r="I184" s="62"/>
      <c r="J184" s="62"/>
      <c r="K184" s="62"/>
      <c r="L184" s="117"/>
      <c r="Q184" s="57"/>
      <c r="AB184" s="62"/>
      <c r="AC184" s="62"/>
      <c r="AG184" s="57"/>
      <c r="AR184" s="111"/>
      <c r="AU184" s="118"/>
    </row>
    <row r="185" spans="1:47" s="109" customFormat="1" ht="12.75">
      <c r="A185" s="57"/>
      <c r="E185" s="57"/>
      <c r="F185" s="209"/>
      <c r="G185" s="209"/>
      <c r="H185" s="62"/>
      <c r="I185" s="62"/>
      <c r="J185" s="62"/>
      <c r="K185" s="62"/>
      <c r="L185" s="117"/>
      <c r="Q185" s="57"/>
      <c r="AB185" s="62"/>
      <c r="AC185" s="62"/>
      <c r="AG185" s="57"/>
      <c r="AR185" s="111"/>
      <c r="AU185" s="118"/>
    </row>
    <row r="186" spans="1:47" s="109" customFormat="1" ht="12.75">
      <c r="A186" s="57"/>
      <c r="E186" s="57"/>
      <c r="F186" s="209"/>
      <c r="G186" s="209"/>
      <c r="H186" s="62"/>
      <c r="I186" s="62"/>
      <c r="J186" s="62"/>
      <c r="K186" s="62"/>
      <c r="L186" s="117"/>
      <c r="Q186" s="57"/>
      <c r="AB186" s="62"/>
      <c r="AC186" s="62"/>
      <c r="AG186" s="57"/>
      <c r="AR186" s="111"/>
      <c r="AU186" s="118"/>
    </row>
    <row r="187" spans="1:47" s="109" customFormat="1" ht="12.75">
      <c r="A187" s="57"/>
      <c r="E187" s="57"/>
      <c r="F187" s="209"/>
      <c r="G187" s="209"/>
      <c r="H187" s="62"/>
      <c r="I187" s="62"/>
      <c r="J187" s="62"/>
      <c r="K187" s="62"/>
      <c r="L187" s="117"/>
      <c r="Q187" s="57"/>
      <c r="AB187" s="62"/>
      <c r="AC187" s="62"/>
      <c r="AG187" s="57"/>
      <c r="AR187" s="111"/>
      <c r="AU187" s="118"/>
    </row>
    <row r="188" spans="1:47" s="109" customFormat="1" ht="12.75">
      <c r="A188" s="57"/>
      <c r="E188" s="57"/>
      <c r="F188" s="209"/>
      <c r="G188" s="209"/>
      <c r="H188" s="62"/>
      <c r="I188" s="62"/>
      <c r="J188" s="62"/>
      <c r="K188" s="62"/>
      <c r="L188" s="117"/>
      <c r="Q188" s="57"/>
      <c r="AB188" s="62"/>
      <c r="AC188" s="62"/>
      <c r="AG188" s="57"/>
      <c r="AR188" s="111"/>
      <c r="AU188" s="118"/>
    </row>
    <row r="189" spans="1:47" s="109" customFormat="1" ht="12.75">
      <c r="A189" s="57"/>
      <c r="E189" s="57"/>
      <c r="F189" s="209"/>
      <c r="G189" s="209"/>
      <c r="H189" s="62"/>
      <c r="I189" s="62"/>
      <c r="J189" s="62"/>
      <c r="K189" s="62"/>
      <c r="L189" s="117"/>
      <c r="Q189" s="57"/>
      <c r="AB189" s="62"/>
      <c r="AC189" s="62"/>
      <c r="AG189" s="57"/>
      <c r="AR189" s="111"/>
      <c r="AU189" s="118"/>
    </row>
    <row r="190" spans="1:47" s="109" customFormat="1" ht="12.75">
      <c r="A190" s="57"/>
      <c r="E190" s="57"/>
      <c r="F190" s="209"/>
      <c r="G190" s="209"/>
      <c r="H190" s="62"/>
      <c r="I190" s="62"/>
      <c r="J190" s="62"/>
      <c r="K190" s="62"/>
      <c r="L190" s="117"/>
      <c r="Q190" s="57"/>
      <c r="AB190" s="62"/>
      <c r="AC190" s="62"/>
      <c r="AG190" s="57"/>
      <c r="AR190" s="111"/>
      <c r="AU190" s="118"/>
    </row>
    <row r="191" spans="1:47" s="109" customFormat="1" ht="12.75">
      <c r="A191" s="57"/>
      <c r="E191" s="57"/>
      <c r="F191" s="209"/>
      <c r="G191" s="209"/>
      <c r="H191" s="62"/>
      <c r="I191" s="62"/>
      <c r="J191" s="62"/>
      <c r="K191" s="62"/>
      <c r="L191" s="117"/>
      <c r="Q191" s="57"/>
      <c r="AB191" s="62"/>
      <c r="AC191" s="62"/>
      <c r="AG191" s="57"/>
      <c r="AR191" s="111"/>
      <c r="AU191" s="118"/>
    </row>
    <row r="192" spans="1:47" s="109" customFormat="1" ht="12.75">
      <c r="A192" s="57"/>
      <c r="E192" s="57"/>
      <c r="F192" s="209"/>
      <c r="G192" s="209"/>
      <c r="H192" s="62"/>
      <c r="I192" s="62"/>
      <c r="J192" s="62"/>
      <c r="K192" s="62"/>
      <c r="L192" s="117"/>
      <c r="Q192" s="57"/>
      <c r="AB192" s="62"/>
      <c r="AC192" s="62"/>
      <c r="AG192" s="57"/>
      <c r="AR192" s="111"/>
      <c r="AU192" s="118"/>
    </row>
    <row r="193" spans="1:47" s="109" customFormat="1" ht="12.75">
      <c r="A193" s="57"/>
      <c r="E193" s="57"/>
      <c r="F193" s="209"/>
      <c r="G193" s="209"/>
      <c r="H193" s="62"/>
      <c r="I193" s="62"/>
      <c r="J193" s="62"/>
      <c r="K193" s="62"/>
      <c r="L193" s="117"/>
      <c r="Q193" s="57"/>
      <c r="AB193" s="62"/>
      <c r="AC193" s="62"/>
      <c r="AG193" s="57"/>
      <c r="AR193" s="111"/>
      <c r="AU193" s="118"/>
    </row>
    <row r="194" spans="1:47" s="109" customFormat="1" ht="12.75">
      <c r="A194" s="57"/>
      <c r="E194" s="57"/>
      <c r="F194" s="209"/>
      <c r="G194" s="209"/>
      <c r="H194" s="62"/>
      <c r="I194" s="62"/>
      <c r="J194" s="62"/>
      <c r="K194" s="62"/>
      <c r="L194" s="117"/>
      <c r="Q194" s="57"/>
      <c r="AB194" s="62"/>
      <c r="AC194" s="62"/>
      <c r="AG194" s="57"/>
      <c r="AR194" s="111"/>
      <c r="AU194" s="118"/>
    </row>
    <row r="195" spans="1:47" s="109" customFormat="1" ht="12.75">
      <c r="A195" s="57"/>
      <c r="E195" s="57"/>
      <c r="F195" s="209"/>
      <c r="G195" s="209"/>
      <c r="H195" s="62"/>
      <c r="I195" s="62"/>
      <c r="J195" s="62"/>
      <c r="K195" s="62"/>
      <c r="L195" s="117"/>
      <c r="Q195" s="57"/>
      <c r="AB195" s="62"/>
      <c r="AC195" s="62"/>
      <c r="AG195" s="57"/>
      <c r="AR195" s="111"/>
      <c r="AU195" s="118"/>
    </row>
    <row r="196" spans="1:47" s="109" customFormat="1" ht="12.75">
      <c r="A196" s="57"/>
      <c r="E196" s="57"/>
      <c r="F196" s="209"/>
      <c r="G196" s="209"/>
      <c r="H196" s="62"/>
      <c r="I196" s="62"/>
      <c r="J196" s="62"/>
      <c r="K196" s="62"/>
      <c r="L196" s="117"/>
      <c r="Q196" s="57"/>
      <c r="AB196" s="62"/>
      <c r="AC196" s="62"/>
      <c r="AG196" s="57"/>
      <c r="AR196" s="111"/>
      <c r="AU196" s="118"/>
    </row>
    <row r="197" spans="1:47" s="109" customFormat="1" ht="12.75">
      <c r="A197" s="57"/>
      <c r="E197" s="57"/>
      <c r="F197" s="209"/>
      <c r="G197" s="209"/>
      <c r="H197" s="62"/>
      <c r="I197" s="62"/>
      <c r="J197" s="62"/>
      <c r="K197" s="62"/>
      <c r="L197" s="117"/>
      <c r="Q197" s="57"/>
      <c r="AB197" s="62"/>
      <c r="AC197" s="62"/>
      <c r="AG197" s="57"/>
      <c r="AR197" s="111"/>
      <c r="AU197" s="118"/>
    </row>
    <row r="198" spans="1:47" s="109" customFormat="1" ht="12.75">
      <c r="A198" s="57"/>
      <c r="E198" s="57"/>
      <c r="F198" s="209"/>
      <c r="G198" s="209"/>
      <c r="H198" s="62"/>
      <c r="I198" s="62"/>
      <c r="J198" s="62"/>
      <c r="K198" s="62"/>
      <c r="L198" s="117"/>
      <c r="Q198" s="57"/>
      <c r="AB198" s="62"/>
      <c r="AC198" s="62"/>
      <c r="AG198" s="57"/>
      <c r="AR198" s="111"/>
      <c r="AU198" s="118"/>
    </row>
    <row r="199" spans="1:47" s="109" customFormat="1" ht="12.75">
      <c r="A199" s="57"/>
      <c r="E199" s="57"/>
      <c r="F199" s="209"/>
      <c r="G199" s="209"/>
      <c r="H199" s="62"/>
      <c r="I199" s="62"/>
      <c r="J199" s="62"/>
      <c r="K199" s="62"/>
      <c r="L199" s="117"/>
      <c r="Q199" s="57"/>
      <c r="AB199" s="62"/>
      <c r="AC199" s="62"/>
      <c r="AG199" s="57"/>
      <c r="AR199" s="111"/>
      <c r="AU199" s="118"/>
    </row>
    <row r="200" spans="1:47" s="109" customFormat="1" ht="12.75">
      <c r="A200" s="57"/>
      <c r="E200" s="57"/>
      <c r="F200" s="209"/>
      <c r="G200" s="209"/>
      <c r="H200" s="62"/>
      <c r="I200" s="62"/>
      <c r="J200" s="62"/>
      <c r="K200" s="62"/>
      <c r="L200" s="117"/>
      <c r="Q200" s="57"/>
      <c r="AB200" s="62"/>
      <c r="AC200" s="62"/>
      <c r="AG200" s="57"/>
      <c r="AR200" s="111"/>
      <c r="AU200" s="118"/>
    </row>
    <row r="201" spans="1:47" s="109" customFormat="1" ht="12.75">
      <c r="A201" s="57"/>
      <c r="E201" s="57"/>
      <c r="F201" s="209"/>
      <c r="G201" s="209"/>
      <c r="H201" s="62"/>
      <c r="I201" s="62"/>
      <c r="J201" s="62"/>
      <c r="K201" s="62"/>
      <c r="L201" s="117"/>
      <c r="Q201" s="57"/>
      <c r="AB201" s="62"/>
      <c r="AC201" s="62"/>
      <c r="AG201" s="57"/>
      <c r="AR201" s="111"/>
      <c r="AU201" s="118"/>
    </row>
    <row r="202" spans="1:47" s="109" customFormat="1" ht="12.75">
      <c r="A202" s="57"/>
      <c r="E202" s="57"/>
      <c r="F202" s="209"/>
      <c r="G202" s="209"/>
      <c r="H202" s="62"/>
      <c r="I202" s="62"/>
      <c r="J202" s="62"/>
      <c r="K202" s="62"/>
      <c r="L202" s="117"/>
      <c r="Q202" s="57"/>
      <c r="AB202" s="62"/>
      <c r="AC202" s="62"/>
      <c r="AG202" s="57"/>
      <c r="AR202" s="111"/>
      <c r="AU202" s="118"/>
    </row>
    <row r="203" spans="1:47" s="109" customFormat="1" ht="12.75">
      <c r="A203" s="57"/>
      <c r="E203" s="57"/>
      <c r="F203" s="209"/>
      <c r="G203" s="209"/>
      <c r="H203" s="62"/>
      <c r="I203" s="62"/>
      <c r="J203" s="62"/>
      <c r="K203" s="62"/>
      <c r="L203" s="117"/>
      <c r="Q203" s="57"/>
      <c r="AB203" s="62"/>
      <c r="AC203" s="62"/>
      <c r="AG203" s="57"/>
      <c r="AR203" s="111"/>
      <c r="AU203" s="118"/>
    </row>
    <row r="204" spans="1:47" s="109" customFormat="1" ht="12.75">
      <c r="A204" s="57"/>
      <c r="E204" s="57"/>
      <c r="F204" s="209"/>
      <c r="G204" s="209"/>
      <c r="H204" s="62"/>
      <c r="I204" s="62"/>
      <c r="J204" s="62"/>
      <c r="K204" s="62"/>
      <c r="L204" s="117"/>
      <c r="Q204" s="57"/>
      <c r="AB204" s="62"/>
      <c r="AC204" s="62"/>
      <c r="AG204" s="57"/>
      <c r="AR204" s="111"/>
      <c r="AU204" s="118"/>
    </row>
    <row r="205" spans="1:47" s="109" customFormat="1" ht="12.75">
      <c r="A205" s="57"/>
      <c r="E205" s="57"/>
      <c r="F205" s="209"/>
      <c r="G205" s="209"/>
      <c r="H205" s="62"/>
      <c r="I205" s="62"/>
      <c r="J205" s="62"/>
      <c r="K205" s="62"/>
      <c r="L205" s="117"/>
      <c r="Q205" s="57"/>
      <c r="AB205" s="62"/>
      <c r="AC205" s="62"/>
      <c r="AG205" s="57"/>
      <c r="AR205" s="111"/>
      <c r="AU205" s="118"/>
    </row>
    <row r="206" spans="1:47" s="109" customFormat="1" ht="12.75">
      <c r="A206" s="57"/>
      <c r="E206" s="57"/>
      <c r="F206" s="209"/>
      <c r="G206" s="209"/>
      <c r="H206" s="62"/>
      <c r="I206" s="62"/>
      <c r="J206" s="62"/>
      <c r="K206" s="62"/>
      <c r="L206" s="117"/>
      <c r="Q206" s="57"/>
      <c r="AB206" s="62"/>
      <c r="AC206" s="62"/>
      <c r="AG206" s="57"/>
      <c r="AR206" s="111"/>
      <c r="AU206" s="118"/>
    </row>
    <row r="207" spans="1:47" s="109" customFormat="1" ht="12.75">
      <c r="A207" s="57"/>
      <c r="E207" s="57"/>
      <c r="F207" s="209"/>
      <c r="G207" s="209"/>
      <c r="H207" s="62"/>
      <c r="I207" s="62"/>
      <c r="J207" s="62"/>
      <c r="K207" s="62"/>
      <c r="L207" s="117"/>
      <c r="Q207" s="57"/>
      <c r="AB207" s="62"/>
      <c r="AC207" s="62"/>
      <c r="AG207" s="57"/>
      <c r="AR207" s="111"/>
      <c r="AU207" s="118"/>
    </row>
    <row r="208" spans="1:47" s="109" customFormat="1" ht="12.75">
      <c r="A208" s="57"/>
      <c r="E208" s="57"/>
      <c r="F208" s="209"/>
      <c r="G208" s="209"/>
      <c r="H208" s="62"/>
      <c r="I208" s="62"/>
      <c r="J208" s="62"/>
      <c r="K208" s="62"/>
      <c r="L208" s="117"/>
      <c r="Q208" s="57"/>
      <c r="AB208" s="62"/>
      <c r="AC208" s="62"/>
      <c r="AG208" s="57"/>
      <c r="AR208" s="111"/>
      <c r="AU208" s="118"/>
    </row>
    <row r="209" spans="1:47" s="109" customFormat="1" ht="12.75">
      <c r="A209" s="57"/>
      <c r="E209" s="57"/>
      <c r="F209" s="209"/>
      <c r="G209" s="209"/>
      <c r="H209" s="62"/>
      <c r="I209" s="62"/>
      <c r="J209" s="62"/>
      <c r="K209" s="62"/>
      <c r="L209" s="117"/>
      <c r="Q209" s="57"/>
      <c r="AB209" s="62"/>
      <c r="AC209" s="62"/>
      <c r="AG209" s="57"/>
      <c r="AR209" s="111"/>
      <c r="AU209" s="118"/>
    </row>
    <row r="210" spans="1:47" s="109" customFormat="1" ht="12.75">
      <c r="A210" s="57"/>
      <c r="E210" s="57"/>
      <c r="F210" s="209"/>
      <c r="G210" s="209"/>
      <c r="H210" s="62"/>
      <c r="I210" s="62"/>
      <c r="J210" s="62"/>
      <c r="K210" s="62"/>
      <c r="L210" s="117"/>
      <c r="Q210" s="57"/>
      <c r="AB210" s="62"/>
      <c r="AC210" s="62"/>
      <c r="AG210" s="57"/>
      <c r="AR210" s="111"/>
      <c r="AU210" s="118"/>
    </row>
    <row r="211" spans="1:47" s="109" customFormat="1" ht="12.75">
      <c r="A211" s="57"/>
      <c r="E211" s="57"/>
      <c r="F211" s="209"/>
      <c r="G211" s="209"/>
      <c r="H211" s="62"/>
      <c r="I211" s="62"/>
      <c r="J211" s="62"/>
      <c r="K211" s="62"/>
      <c r="L211" s="117"/>
      <c r="Q211" s="57"/>
      <c r="AB211" s="62"/>
      <c r="AC211" s="62"/>
      <c r="AG211" s="57"/>
      <c r="AR211" s="111"/>
      <c r="AU211" s="118"/>
    </row>
    <row r="212" spans="1:47" s="109" customFormat="1" ht="12.75">
      <c r="A212" s="57"/>
      <c r="E212" s="57"/>
      <c r="F212" s="209"/>
      <c r="G212" s="209"/>
      <c r="H212" s="62"/>
      <c r="I212" s="62"/>
      <c r="J212" s="62"/>
      <c r="K212" s="62"/>
      <c r="L212" s="117"/>
      <c r="Q212" s="57"/>
      <c r="AB212" s="62"/>
      <c r="AC212" s="62"/>
      <c r="AG212" s="57"/>
      <c r="AR212" s="111"/>
      <c r="AU212" s="118"/>
    </row>
    <row r="213" spans="1:47" s="109" customFormat="1" ht="12.75">
      <c r="A213" s="57"/>
      <c r="E213" s="57"/>
      <c r="F213" s="209"/>
      <c r="G213" s="209"/>
      <c r="H213" s="62"/>
      <c r="I213" s="62"/>
      <c r="J213" s="62"/>
      <c r="K213" s="62"/>
      <c r="L213" s="117"/>
      <c r="Q213" s="57"/>
      <c r="AB213" s="62"/>
      <c r="AC213" s="62"/>
      <c r="AG213" s="57"/>
      <c r="AR213" s="111"/>
      <c r="AU213" s="118"/>
    </row>
    <row r="214" spans="1:47" s="109" customFormat="1" ht="12.75">
      <c r="A214" s="57"/>
      <c r="E214" s="57"/>
      <c r="F214" s="209"/>
      <c r="G214" s="209"/>
      <c r="H214" s="62"/>
      <c r="I214" s="62"/>
      <c r="J214" s="62"/>
      <c r="K214" s="62"/>
      <c r="L214" s="117"/>
      <c r="Q214" s="57"/>
      <c r="AB214" s="62"/>
      <c r="AC214" s="62"/>
      <c r="AG214" s="57"/>
      <c r="AR214" s="111"/>
      <c r="AU214" s="118"/>
    </row>
    <row r="215" spans="1:47" s="109" customFormat="1" ht="12.75">
      <c r="A215" s="57"/>
      <c r="E215" s="57"/>
      <c r="F215" s="209"/>
      <c r="G215" s="209"/>
      <c r="H215" s="62"/>
      <c r="I215" s="62"/>
      <c r="J215" s="62"/>
      <c r="K215" s="62"/>
      <c r="L215" s="117"/>
      <c r="Q215" s="57"/>
      <c r="AB215" s="62"/>
      <c r="AC215" s="62"/>
      <c r="AG215" s="57"/>
      <c r="AR215" s="111"/>
      <c r="AU215" s="118"/>
    </row>
    <row r="216" spans="1:47" s="109" customFormat="1" ht="12.75">
      <c r="A216" s="57"/>
      <c r="E216" s="57"/>
      <c r="F216" s="209"/>
      <c r="G216" s="209"/>
      <c r="H216" s="62"/>
      <c r="I216" s="62"/>
      <c r="J216" s="62"/>
      <c r="K216" s="62"/>
      <c r="L216" s="117"/>
      <c r="Q216" s="57"/>
      <c r="AB216" s="62"/>
      <c r="AC216" s="62"/>
      <c r="AG216" s="57"/>
      <c r="AR216" s="111"/>
      <c r="AU216" s="118"/>
    </row>
    <row r="217" spans="1:47" s="109" customFormat="1" ht="12.75">
      <c r="A217" s="57"/>
      <c r="E217" s="57"/>
      <c r="F217" s="209"/>
      <c r="G217" s="209"/>
      <c r="H217" s="62"/>
      <c r="I217" s="62"/>
      <c r="J217" s="62"/>
      <c r="K217" s="62"/>
      <c r="L217" s="117"/>
      <c r="Q217" s="57"/>
      <c r="AB217" s="62"/>
      <c r="AC217" s="62"/>
      <c r="AG217" s="57"/>
      <c r="AR217" s="111"/>
      <c r="AU217" s="118"/>
    </row>
    <row r="218" spans="1:47" s="109" customFormat="1" ht="12.75">
      <c r="A218" s="57"/>
      <c r="E218" s="57"/>
      <c r="F218" s="209"/>
      <c r="G218" s="209"/>
      <c r="H218" s="62"/>
      <c r="I218" s="62"/>
      <c r="J218" s="62"/>
      <c r="K218" s="62"/>
      <c r="L218" s="117"/>
      <c r="Q218" s="57"/>
      <c r="AB218" s="62"/>
      <c r="AC218" s="62"/>
      <c r="AG218" s="57"/>
      <c r="AR218" s="111"/>
      <c r="AU218" s="118"/>
    </row>
    <row r="219" spans="1:47" s="109" customFormat="1" ht="12.75">
      <c r="A219" s="57"/>
      <c r="E219" s="57"/>
      <c r="F219" s="209"/>
      <c r="G219" s="209"/>
      <c r="H219" s="62"/>
      <c r="I219" s="62"/>
      <c r="J219" s="62"/>
      <c r="K219" s="62"/>
      <c r="L219" s="117"/>
      <c r="Q219" s="57"/>
      <c r="AB219" s="62"/>
      <c r="AC219" s="62"/>
      <c r="AG219" s="57"/>
      <c r="AR219" s="111"/>
      <c r="AU219" s="118"/>
    </row>
    <row r="220" spans="1:47" s="109" customFormat="1" ht="12.75">
      <c r="A220" s="57"/>
      <c r="E220" s="57"/>
      <c r="F220" s="209"/>
      <c r="G220" s="209"/>
      <c r="H220" s="62"/>
      <c r="I220" s="62"/>
      <c r="J220" s="62"/>
      <c r="K220" s="62"/>
      <c r="L220" s="117"/>
      <c r="Q220" s="57"/>
      <c r="AB220" s="62"/>
      <c r="AC220" s="62"/>
      <c r="AG220" s="57"/>
      <c r="AR220" s="111"/>
      <c r="AU220" s="118"/>
    </row>
    <row r="221" spans="1:47" s="109" customFormat="1" ht="12.75">
      <c r="A221" s="57"/>
      <c r="E221" s="57"/>
      <c r="F221" s="209"/>
      <c r="G221" s="209"/>
      <c r="H221" s="62"/>
      <c r="I221" s="62"/>
      <c r="J221" s="62"/>
      <c r="K221" s="62"/>
      <c r="L221" s="117"/>
      <c r="Q221" s="57"/>
      <c r="AB221" s="62"/>
      <c r="AC221" s="62"/>
      <c r="AG221" s="57"/>
      <c r="AR221" s="111"/>
      <c r="AU221" s="118"/>
    </row>
    <row r="222" spans="1:47" s="109" customFormat="1" ht="12.75">
      <c r="A222" s="57"/>
      <c r="E222" s="57"/>
      <c r="F222" s="209"/>
      <c r="G222" s="209"/>
      <c r="H222" s="62"/>
      <c r="I222" s="62"/>
      <c r="J222" s="62"/>
      <c r="K222" s="62"/>
      <c r="L222" s="117"/>
      <c r="Q222" s="57"/>
      <c r="AB222" s="62"/>
      <c r="AC222" s="62"/>
      <c r="AG222" s="57"/>
      <c r="AR222" s="111"/>
      <c r="AU222" s="118"/>
    </row>
    <row r="223" spans="1:47" s="109" customFormat="1" ht="12.75">
      <c r="A223" s="57"/>
      <c r="E223" s="57"/>
      <c r="F223" s="209"/>
      <c r="G223" s="209"/>
      <c r="H223" s="62"/>
      <c r="I223" s="62"/>
      <c r="J223" s="62"/>
      <c r="K223" s="62"/>
      <c r="L223" s="117"/>
      <c r="Q223" s="57"/>
      <c r="AB223" s="62"/>
      <c r="AC223" s="62"/>
      <c r="AG223" s="57"/>
      <c r="AR223" s="111"/>
      <c r="AU223" s="118"/>
    </row>
    <row r="224" spans="1:47" s="109" customFormat="1" ht="12.75">
      <c r="A224" s="57"/>
      <c r="E224" s="57"/>
      <c r="F224" s="209"/>
      <c r="G224" s="209"/>
      <c r="H224" s="62"/>
      <c r="I224" s="62"/>
      <c r="J224" s="62"/>
      <c r="K224" s="62"/>
      <c r="L224" s="117"/>
      <c r="Q224" s="57"/>
      <c r="AB224" s="62"/>
      <c r="AC224" s="62"/>
      <c r="AG224" s="57"/>
      <c r="AR224" s="111"/>
      <c r="AU224" s="118"/>
    </row>
    <row r="225" spans="1:47" s="109" customFormat="1" ht="12.75">
      <c r="A225" s="57"/>
      <c r="E225" s="57"/>
      <c r="F225" s="209"/>
      <c r="G225" s="209"/>
      <c r="H225" s="62"/>
      <c r="I225" s="62"/>
      <c r="J225" s="62"/>
      <c r="K225" s="62"/>
      <c r="L225" s="117"/>
      <c r="Q225" s="57"/>
      <c r="AB225" s="62"/>
      <c r="AC225" s="62"/>
      <c r="AG225" s="57"/>
      <c r="AR225" s="111"/>
      <c r="AU225" s="118"/>
    </row>
    <row r="226" spans="1:47" s="109" customFormat="1" ht="12.75">
      <c r="A226" s="57"/>
      <c r="E226" s="57"/>
      <c r="F226" s="209"/>
      <c r="G226" s="209"/>
      <c r="H226" s="62"/>
      <c r="I226" s="62"/>
      <c r="J226" s="62"/>
      <c r="K226" s="62"/>
      <c r="L226" s="117"/>
      <c r="Q226" s="57"/>
      <c r="AB226" s="62"/>
      <c r="AC226" s="62"/>
      <c r="AG226" s="57"/>
      <c r="AR226" s="111"/>
      <c r="AU226" s="118"/>
    </row>
    <row r="227" spans="1:47" s="109" customFormat="1" ht="12.75">
      <c r="A227" s="57"/>
      <c r="E227" s="57"/>
      <c r="F227" s="209"/>
      <c r="G227" s="209"/>
      <c r="H227" s="62"/>
      <c r="I227" s="62"/>
      <c r="J227" s="62"/>
      <c r="K227" s="62"/>
      <c r="L227" s="117"/>
      <c r="Q227" s="57"/>
      <c r="AB227" s="62"/>
      <c r="AC227" s="62"/>
      <c r="AG227" s="57"/>
      <c r="AR227" s="111"/>
      <c r="AU227" s="118"/>
    </row>
    <row r="228" spans="1:47" s="109" customFormat="1" ht="12.75">
      <c r="A228" s="57"/>
      <c r="E228" s="57"/>
      <c r="F228" s="209"/>
      <c r="G228" s="209"/>
      <c r="H228" s="62"/>
      <c r="I228" s="62"/>
      <c r="J228" s="62"/>
      <c r="K228" s="62"/>
      <c r="L228" s="117"/>
      <c r="Q228" s="57"/>
      <c r="AB228" s="62"/>
      <c r="AC228" s="62"/>
      <c r="AG228" s="57"/>
      <c r="AR228" s="111"/>
      <c r="AU228" s="118"/>
    </row>
    <row r="229" spans="1:47" s="109" customFormat="1" ht="12.75">
      <c r="A229" s="57"/>
      <c r="E229" s="57"/>
      <c r="F229" s="209"/>
      <c r="G229" s="209"/>
      <c r="H229" s="62"/>
      <c r="I229" s="62"/>
      <c r="J229" s="62"/>
      <c r="K229" s="62"/>
      <c r="L229" s="117"/>
      <c r="Q229" s="57"/>
      <c r="AB229" s="62"/>
      <c r="AC229" s="62"/>
      <c r="AG229" s="57"/>
      <c r="AR229" s="111"/>
      <c r="AU229" s="118"/>
    </row>
    <row r="230" spans="1:47" s="109" customFormat="1" ht="12.75">
      <c r="A230" s="57"/>
      <c r="E230" s="57"/>
      <c r="F230" s="209"/>
      <c r="G230" s="209"/>
      <c r="H230" s="62"/>
      <c r="I230" s="62"/>
      <c r="J230" s="62"/>
      <c r="K230" s="62"/>
      <c r="L230" s="117"/>
      <c r="Q230" s="57"/>
      <c r="AB230" s="62"/>
      <c r="AC230" s="62"/>
      <c r="AG230" s="57"/>
      <c r="AR230" s="111"/>
      <c r="AU230" s="118"/>
    </row>
    <row r="231" spans="1:47" s="109" customFormat="1" ht="12.75">
      <c r="A231" s="57"/>
      <c r="E231" s="57"/>
      <c r="F231" s="209"/>
      <c r="G231" s="209"/>
      <c r="H231" s="62"/>
      <c r="I231" s="62"/>
      <c r="J231" s="62"/>
      <c r="K231" s="62"/>
      <c r="L231" s="117"/>
      <c r="Q231" s="57"/>
      <c r="AB231" s="62"/>
      <c r="AC231" s="62"/>
      <c r="AG231" s="57"/>
      <c r="AR231" s="111"/>
      <c r="AU231" s="118"/>
    </row>
    <row r="232" spans="1:47" s="109" customFormat="1" ht="12.75">
      <c r="A232" s="57"/>
      <c r="E232" s="57"/>
      <c r="F232" s="209"/>
      <c r="G232" s="209"/>
      <c r="H232" s="62"/>
      <c r="I232" s="62"/>
      <c r="J232" s="62"/>
      <c r="K232" s="62"/>
      <c r="L232" s="117"/>
      <c r="Q232" s="57"/>
      <c r="AB232" s="62"/>
      <c r="AC232" s="62"/>
      <c r="AG232" s="57"/>
      <c r="AR232" s="111"/>
      <c r="AU232" s="118"/>
    </row>
    <row r="233" spans="1:47" s="109" customFormat="1" ht="12.75">
      <c r="A233" s="57"/>
      <c r="E233" s="57"/>
      <c r="F233" s="209"/>
      <c r="G233" s="209"/>
      <c r="H233" s="62"/>
      <c r="I233" s="62"/>
      <c r="J233" s="62"/>
      <c r="K233" s="62"/>
      <c r="L233" s="117"/>
      <c r="Q233" s="57"/>
      <c r="AB233" s="62"/>
      <c r="AC233" s="62"/>
      <c r="AG233" s="57"/>
      <c r="AR233" s="111"/>
      <c r="AU233" s="118"/>
    </row>
    <row r="234" spans="1:47" s="109" customFormat="1" ht="12.75">
      <c r="A234" s="57"/>
      <c r="E234" s="57"/>
      <c r="F234" s="209"/>
      <c r="G234" s="209"/>
      <c r="H234" s="62"/>
      <c r="I234" s="62"/>
      <c r="J234" s="62"/>
      <c r="K234" s="62"/>
      <c r="L234" s="117"/>
      <c r="Q234" s="57"/>
      <c r="AB234" s="62"/>
      <c r="AC234" s="62"/>
      <c r="AG234" s="57"/>
      <c r="AR234" s="111"/>
      <c r="AU234" s="118"/>
    </row>
    <row r="235" spans="1:47" s="109" customFormat="1" ht="12.75">
      <c r="A235" s="57"/>
      <c r="E235" s="57"/>
      <c r="F235" s="209"/>
      <c r="G235" s="209"/>
      <c r="H235" s="62"/>
      <c r="I235" s="62"/>
      <c r="J235" s="62"/>
      <c r="K235" s="62"/>
      <c r="L235" s="117"/>
      <c r="Q235" s="57"/>
      <c r="AB235" s="62"/>
      <c r="AC235" s="62"/>
      <c r="AG235" s="57"/>
      <c r="AR235" s="111"/>
      <c r="AU235" s="118"/>
    </row>
    <row r="236" spans="1:47" s="109" customFormat="1" ht="12.75">
      <c r="A236" s="57"/>
      <c r="E236" s="57"/>
      <c r="F236" s="209"/>
      <c r="G236" s="209"/>
      <c r="H236" s="62"/>
      <c r="I236" s="62"/>
      <c r="J236" s="62"/>
      <c r="K236" s="62"/>
      <c r="L236" s="117"/>
      <c r="Q236" s="57"/>
      <c r="AB236" s="62"/>
      <c r="AC236" s="62"/>
      <c r="AG236" s="57"/>
      <c r="AR236" s="111"/>
      <c r="AU236" s="118"/>
    </row>
    <row r="237" spans="1:47" s="109" customFormat="1" ht="12.75">
      <c r="A237" s="57"/>
      <c r="E237" s="57"/>
      <c r="F237" s="209"/>
      <c r="G237" s="209"/>
      <c r="H237" s="62"/>
      <c r="I237" s="62"/>
      <c r="J237" s="62"/>
      <c r="K237" s="62"/>
      <c r="L237" s="117"/>
      <c r="Q237" s="57"/>
      <c r="AB237" s="62"/>
      <c r="AC237" s="62"/>
      <c r="AG237" s="57"/>
      <c r="AR237" s="111"/>
      <c r="AU237" s="118"/>
    </row>
    <row r="238" spans="1:47" s="109" customFormat="1" ht="12.75">
      <c r="A238" s="57"/>
      <c r="E238" s="57"/>
      <c r="F238" s="209"/>
      <c r="G238" s="209"/>
      <c r="H238" s="62"/>
      <c r="I238" s="62"/>
      <c r="J238" s="62"/>
      <c r="K238" s="62"/>
      <c r="L238" s="117"/>
      <c r="Q238" s="57"/>
      <c r="AB238" s="62"/>
      <c r="AC238" s="62"/>
      <c r="AG238" s="57"/>
      <c r="AR238" s="111"/>
      <c r="AU238" s="118"/>
    </row>
    <row r="239" spans="1:47" s="109" customFormat="1" ht="12.75">
      <c r="A239" s="57"/>
      <c r="E239" s="57"/>
      <c r="F239" s="209"/>
      <c r="G239" s="209"/>
      <c r="H239" s="62"/>
      <c r="I239" s="62"/>
      <c r="J239" s="62"/>
      <c r="K239" s="62"/>
      <c r="L239" s="117"/>
      <c r="Q239" s="57"/>
      <c r="AB239" s="62"/>
      <c r="AC239" s="62"/>
      <c r="AG239" s="57"/>
      <c r="AR239" s="111"/>
      <c r="AU239" s="118"/>
    </row>
    <row r="240" spans="1:47" s="109" customFormat="1" ht="12.75">
      <c r="A240" s="57"/>
      <c r="E240" s="57"/>
      <c r="F240" s="209"/>
      <c r="G240" s="209"/>
      <c r="H240" s="62"/>
      <c r="I240" s="62"/>
      <c r="J240" s="62"/>
      <c r="K240" s="62"/>
      <c r="L240" s="117"/>
      <c r="Q240" s="57"/>
      <c r="AB240" s="62"/>
      <c r="AC240" s="62"/>
      <c r="AG240" s="57"/>
      <c r="AR240" s="111"/>
      <c r="AU240" s="118"/>
    </row>
    <row r="241" spans="1:47" s="109" customFormat="1" ht="12.75">
      <c r="A241" s="57"/>
      <c r="E241" s="57"/>
      <c r="F241" s="209"/>
      <c r="G241" s="209"/>
      <c r="H241" s="62"/>
      <c r="I241" s="62"/>
      <c r="J241" s="62"/>
      <c r="K241" s="62"/>
      <c r="L241" s="117"/>
      <c r="Q241" s="57"/>
      <c r="AB241" s="62"/>
      <c r="AC241" s="62"/>
      <c r="AG241" s="57"/>
      <c r="AR241" s="111"/>
      <c r="AU241" s="118"/>
    </row>
    <row r="242" spans="1:47" s="109" customFormat="1" ht="12.75">
      <c r="A242" s="57"/>
      <c r="E242" s="57"/>
      <c r="F242" s="209"/>
      <c r="G242" s="209"/>
      <c r="H242" s="62"/>
      <c r="I242" s="62"/>
      <c r="J242" s="62"/>
      <c r="K242" s="62"/>
      <c r="L242" s="117"/>
      <c r="Q242" s="57"/>
      <c r="AB242" s="62"/>
      <c r="AC242" s="62"/>
      <c r="AG242" s="57"/>
      <c r="AR242" s="111"/>
      <c r="AU242" s="118"/>
    </row>
    <row r="243" spans="1:47" s="109" customFormat="1" ht="12.75">
      <c r="A243" s="57"/>
      <c r="E243" s="57"/>
      <c r="F243" s="209"/>
      <c r="G243" s="209"/>
      <c r="H243" s="62"/>
      <c r="I243" s="62"/>
      <c r="J243" s="62"/>
      <c r="K243" s="62"/>
      <c r="L243" s="117"/>
      <c r="Q243" s="57"/>
      <c r="AB243" s="62"/>
      <c r="AC243" s="62"/>
      <c r="AG243" s="57"/>
      <c r="AR243" s="111"/>
      <c r="AU243" s="118"/>
    </row>
    <row r="244" spans="1:47" s="109" customFormat="1" ht="12.75">
      <c r="A244" s="57"/>
      <c r="E244" s="57"/>
      <c r="F244" s="209"/>
      <c r="G244" s="209"/>
      <c r="H244" s="62"/>
      <c r="I244" s="62"/>
      <c r="J244" s="62"/>
      <c r="K244" s="62"/>
      <c r="L244" s="117"/>
      <c r="Q244" s="57"/>
      <c r="AB244" s="62"/>
      <c r="AC244" s="62"/>
      <c r="AG244" s="57"/>
      <c r="AR244" s="111"/>
      <c r="AU244" s="118"/>
    </row>
    <row r="245" spans="1:47" s="109" customFormat="1" ht="12.75">
      <c r="A245" s="57"/>
      <c r="E245" s="57"/>
      <c r="F245" s="209"/>
      <c r="G245" s="209"/>
      <c r="H245" s="62"/>
      <c r="I245" s="62"/>
      <c r="J245" s="62"/>
      <c r="K245" s="62"/>
      <c r="L245" s="117"/>
      <c r="Q245" s="57"/>
      <c r="AB245" s="62"/>
      <c r="AC245" s="62"/>
      <c r="AG245" s="57"/>
      <c r="AR245" s="111"/>
      <c r="AU245" s="118"/>
    </row>
    <row r="246" spans="1:47" s="109" customFormat="1" ht="12.75">
      <c r="A246" s="57"/>
      <c r="E246" s="57"/>
      <c r="F246" s="209"/>
      <c r="G246" s="209"/>
      <c r="H246" s="62"/>
      <c r="I246" s="62"/>
      <c r="J246" s="62"/>
      <c r="K246" s="62"/>
      <c r="L246" s="117"/>
      <c r="Q246" s="57"/>
      <c r="AB246" s="62"/>
      <c r="AC246" s="62"/>
      <c r="AG246" s="57"/>
      <c r="AR246" s="111"/>
      <c r="AU246" s="118"/>
    </row>
    <row r="247" spans="1:47" s="109" customFormat="1" ht="12.75">
      <c r="A247" s="57"/>
      <c r="E247" s="57"/>
      <c r="F247" s="209"/>
      <c r="G247" s="209"/>
      <c r="H247" s="62"/>
      <c r="I247" s="62"/>
      <c r="J247" s="62"/>
      <c r="K247" s="62"/>
      <c r="L247" s="117"/>
      <c r="Q247" s="57"/>
      <c r="AB247" s="62"/>
      <c r="AC247" s="62"/>
      <c r="AG247" s="57"/>
      <c r="AR247" s="111"/>
      <c r="AU247" s="118"/>
    </row>
    <row r="248" spans="1:47" s="109" customFormat="1" ht="12.75">
      <c r="A248" s="57"/>
      <c r="E248" s="57"/>
      <c r="F248" s="209"/>
      <c r="G248" s="209"/>
      <c r="H248" s="62"/>
      <c r="I248" s="62"/>
      <c r="J248" s="62"/>
      <c r="K248" s="62"/>
      <c r="L248" s="117"/>
      <c r="Q248" s="57"/>
      <c r="AB248" s="62"/>
      <c r="AC248" s="62"/>
      <c r="AG248" s="57"/>
      <c r="AR248" s="111"/>
      <c r="AU248" s="118"/>
    </row>
    <row r="249" spans="1:47" s="109" customFormat="1" ht="12.75">
      <c r="A249" s="57"/>
      <c r="E249" s="57"/>
      <c r="F249" s="209"/>
      <c r="G249" s="209"/>
      <c r="H249" s="62"/>
      <c r="I249" s="62"/>
      <c r="J249" s="62"/>
      <c r="K249" s="62"/>
      <c r="L249" s="117"/>
      <c r="Q249" s="57"/>
      <c r="AB249" s="62"/>
      <c r="AC249" s="62"/>
      <c r="AG249" s="57"/>
      <c r="AR249" s="111"/>
      <c r="AU249" s="118"/>
    </row>
    <row r="250" spans="1:47" s="109" customFormat="1" ht="12.75">
      <c r="A250" s="57"/>
      <c r="E250" s="57"/>
      <c r="F250" s="209"/>
      <c r="G250" s="209"/>
      <c r="H250" s="62"/>
      <c r="I250" s="62"/>
      <c r="J250" s="62"/>
      <c r="K250" s="62"/>
      <c r="L250" s="117"/>
      <c r="Q250" s="57"/>
      <c r="AB250" s="62"/>
      <c r="AC250" s="62"/>
      <c r="AG250" s="57"/>
      <c r="AR250" s="111"/>
      <c r="AU250" s="118"/>
    </row>
    <row r="251" spans="1:47" s="109" customFormat="1" ht="12.75">
      <c r="A251" s="57"/>
      <c r="E251" s="57"/>
      <c r="F251" s="209"/>
      <c r="G251" s="209"/>
      <c r="H251" s="62"/>
      <c r="I251" s="62"/>
      <c r="J251" s="62"/>
      <c r="K251" s="62"/>
      <c r="L251" s="117"/>
      <c r="Q251" s="57"/>
      <c r="AB251" s="62"/>
      <c r="AC251" s="62"/>
      <c r="AG251" s="57"/>
      <c r="AR251" s="111"/>
      <c r="AU251" s="118"/>
    </row>
    <row r="252" spans="1:47" s="109" customFormat="1" ht="12.75">
      <c r="A252" s="57"/>
      <c r="E252" s="57"/>
      <c r="F252" s="209"/>
      <c r="G252" s="209"/>
      <c r="H252" s="62"/>
      <c r="I252" s="62"/>
      <c r="J252" s="62"/>
      <c r="K252" s="62"/>
      <c r="L252" s="117"/>
      <c r="Q252" s="57"/>
      <c r="AB252" s="62"/>
      <c r="AC252" s="62"/>
      <c r="AG252" s="57"/>
      <c r="AR252" s="111"/>
      <c r="AU252" s="118"/>
    </row>
    <row r="253" spans="1:47" s="109" customFormat="1" ht="12.75">
      <c r="A253" s="57"/>
      <c r="E253" s="57"/>
      <c r="F253" s="209"/>
      <c r="G253" s="209"/>
      <c r="H253" s="62"/>
      <c r="I253" s="62"/>
      <c r="J253" s="62"/>
      <c r="K253" s="62"/>
      <c r="L253" s="117"/>
      <c r="Q253" s="57"/>
      <c r="AB253" s="62"/>
      <c r="AC253" s="62"/>
      <c r="AG253" s="57"/>
      <c r="AR253" s="111"/>
      <c r="AU253" s="118"/>
    </row>
    <row r="254" spans="1:47" s="109" customFormat="1" ht="12.75">
      <c r="A254" s="57"/>
      <c r="E254" s="57"/>
      <c r="F254" s="209"/>
      <c r="G254" s="209"/>
      <c r="H254" s="62"/>
      <c r="I254" s="62"/>
      <c r="J254" s="62"/>
      <c r="K254" s="62"/>
      <c r="L254" s="117"/>
      <c r="Q254" s="57"/>
      <c r="AB254" s="62"/>
      <c r="AC254" s="62"/>
      <c r="AG254" s="57"/>
      <c r="AR254" s="111"/>
      <c r="AU254" s="118"/>
    </row>
    <row r="255" spans="1:47" s="109" customFormat="1" ht="12.75">
      <c r="A255" s="57"/>
      <c r="E255" s="57"/>
      <c r="F255" s="209"/>
      <c r="G255" s="209"/>
      <c r="H255" s="62"/>
      <c r="I255" s="62"/>
      <c r="J255" s="62"/>
      <c r="K255" s="62"/>
      <c r="L255" s="117"/>
      <c r="Q255" s="57"/>
      <c r="AB255" s="62"/>
      <c r="AC255" s="62"/>
      <c r="AG255" s="57"/>
      <c r="AR255" s="111"/>
      <c r="AU255" s="118"/>
    </row>
    <row r="256" spans="1:47" s="109" customFormat="1" ht="12.75">
      <c r="A256" s="57"/>
      <c r="E256" s="57"/>
      <c r="F256" s="209"/>
      <c r="G256" s="209"/>
      <c r="H256" s="62"/>
      <c r="I256" s="62"/>
      <c r="J256" s="62"/>
      <c r="K256" s="62"/>
      <c r="L256" s="117"/>
      <c r="Q256" s="57"/>
      <c r="AB256" s="62"/>
      <c r="AC256" s="62"/>
      <c r="AG256" s="57"/>
      <c r="AR256" s="111"/>
      <c r="AU256" s="118"/>
    </row>
    <row r="257" spans="1:47" s="109" customFormat="1" ht="12.75">
      <c r="A257" s="57"/>
      <c r="E257" s="57"/>
      <c r="F257" s="209"/>
      <c r="G257" s="209"/>
      <c r="H257" s="62"/>
      <c r="I257" s="62"/>
      <c r="J257" s="62"/>
      <c r="K257" s="62"/>
      <c r="L257" s="117"/>
      <c r="Q257" s="57"/>
      <c r="AB257" s="62"/>
      <c r="AC257" s="62"/>
      <c r="AG257" s="57"/>
      <c r="AR257" s="111"/>
      <c r="AU257" s="118"/>
    </row>
    <row r="258" spans="1:47" s="109" customFormat="1" ht="12.75">
      <c r="A258" s="57"/>
      <c r="E258" s="57"/>
      <c r="F258" s="209"/>
      <c r="G258" s="209"/>
      <c r="H258" s="62"/>
      <c r="I258" s="62"/>
      <c r="J258" s="62"/>
      <c r="K258" s="62"/>
      <c r="L258" s="117"/>
      <c r="Q258" s="57"/>
      <c r="AB258" s="62"/>
      <c r="AC258" s="62"/>
      <c r="AG258" s="57"/>
      <c r="AR258" s="111"/>
      <c r="AU258" s="118"/>
    </row>
    <row r="259" spans="1:47" s="109" customFormat="1" ht="12.75">
      <c r="A259" s="57"/>
      <c r="E259" s="57"/>
      <c r="F259" s="209"/>
      <c r="G259" s="209"/>
      <c r="H259" s="62"/>
      <c r="I259" s="62"/>
      <c r="J259" s="62"/>
      <c r="K259" s="62"/>
      <c r="L259" s="117"/>
      <c r="Q259" s="57"/>
      <c r="AB259" s="62"/>
      <c r="AC259" s="62"/>
      <c r="AG259" s="57"/>
      <c r="AR259" s="111"/>
      <c r="AU259" s="118"/>
    </row>
    <row r="260" spans="1:47" s="109" customFormat="1" ht="12.75">
      <c r="A260" s="57"/>
      <c r="E260" s="57"/>
      <c r="F260" s="209"/>
      <c r="G260" s="209"/>
      <c r="H260" s="62"/>
      <c r="I260" s="62"/>
      <c r="J260" s="62"/>
      <c r="K260" s="62"/>
      <c r="L260" s="117"/>
      <c r="Q260" s="57"/>
      <c r="AB260" s="62"/>
      <c r="AC260" s="62"/>
      <c r="AG260" s="57"/>
      <c r="AR260" s="111"/>
      <c r="AU260" s="118"/>
    </row>
    <row r="261" spans="1:47" s="109" customFormat="1" ht="12.75">
      <c r="A261" s="57"/>
      <c r="E261" s="57"/>
      <c r="F261" s="209"/>
      <c r="G261" s="209"/>
      <c r="H261" s="62"/>
      <c r="I261" s="62"/>
      <c r="J261" s="62"/>
      <c r="K261" s="62"/>
      <c r="L261" s="117"/>
      <c r="Q261" s="57"/>
      <c r="AB261" s="62"/>
      <c r="AC261" s="62"/>
      <c r="AG261" s="57"/>
      <c r="AR261" s="111"/>
      <c r="AU261" s="118"/>
    </row>
    <row r="262" spans="1:47" s="109" customFormat="1" ht="12.75">
      <c r="A262" s="57"/>
      <c r="E262" s="57"/>
      <c r="F262" s="209"/>
      <c r="G262" s="209"/>
      <c r="H262" s="62"/>
      <c r="I262" s="62"/>
      <c r="J262" s="62"/>
      <c r="K262" s="62"/>
      <c r="L262" s="117"/>
      <c r="Q262" s="57"/>
      <c r="AB262" s="62"/>
      <c r="AC262" s="62"/>
      <c r="AG262" s="57"/>
      <c r="AR262" s="111"/>
      <c r="AU262" s="118"/>
    </row>
    <row r="263" spans="1:47" s="109" customFormat="1" ht="12.75">
      <c r="A263" s="57"/>
      <c r="E263" s="57"/>
      <c r="F263" s="209"/>
      <c r="G263" s="209"/>
      <c r="H263" s="62"/>
      <c r="I263" s="62"/>
      <c r="J263" s="62"/>
      <c r="K263" s="62"/>
      <c r="L263" s="117"/>
      <c r="Q263" s="57"/>
      <c r="AB263" s="62"/>
      <c r="AC263" s="62"/>
      <c r="AG263" s="57"/>
      <c r="AR263" s="111"/>
      <c r="AU263" s="118"/>
    </row>
    <row r="264" spans="1:47" s="109" customFormat="1" ht="12.75">
      <c r="A264" s="57"/>
      <c r="E264" s="57"/>
      <c r="F264" s="209"/>
      <c r="G264" s="209"/>
      <c r="H264" s="62"/>
      <c r="I264" s="62"/>
      <c r="J264" s="62"/>
      <c r="K264" s="62"/>
      <c r="L264" s="117"/>
      <c r="Q264" s="57"/>
      <c r="AB264" s="62"/>
      <c r="AC264" s="62"/>
      <c r="AG264" s="57"/>
      <c r="AR264" s="111"/>
      <c r="AU264" s="118"/>
    </row>
    <row r="265" spans="1:47" s="109" customFormat="1" ht="12.75">
      <c r="A265" s="57"/>
      <c r="E265" s="57"/>
      <c r="F265" s="209"/>
      <c r="G265" s="209"/>
      <c r="H265" s="62"/>
      <c r="I265" s="62"/>
      <c r="J265" s="62"/>
      <c r="K265" s="62"/>
      <c r="L265" s="117"/>
      <c r="Q265" s="57"/>
      <c r="AB265" s="62"/>
      <c r="AC265" s="62"/>
      <c r="AG265" s="57"/>
      <c r="AR265" s="111"/>
      <c r="AU265" s="118"/>
    </row>
    <row r="266" spans="1:47" s="109" customFormat="1" ht="12.75">
      <c r="A266" s="57"/>
      <c r="E266" s="57"/>
      <c r="F266" s="209"/>
      <c r="G266" s="209"/>
      <c r="H266" s="62"/>
      <c r="I266" s="62"/>
      <c r="J266" s="62"/>
      <c r="K266" s="62"/>
      <c r="L266" s="117"/>
      <c r="Q266" s="57"/>
      <c r="AB266" s="62"/>
      <c r="AC266" s="62"/>
      <c r="AG266" s="57"/>
      <c r="AR266" s="111"/>
      <c r="AU266" s="118"/>
    </row>
    <row r="267" spans="1:47" s="109" customFormat="1" ht="12.75">
      <c r="A267" s="57"/>
      <c r="E267" s="57"/>
      <c r="F267" s="209"/>
      <c r="G267" s="209"/>
      <c r="H267" s="62"/>
      <c r="I267" s="62"/>
      <c r="J267" s="62"/>
      <c r="K267" s="62"/>
      <c r="L267" s="117"/>
      <c r="Q267" s="57"/>
      <c r="AB267" s="62"/>
      <c r="AC267" s="62"/>
      <c r="AG267" s="57"/>
      <c r="AR267" s="111"/>
      <c r="AU267" s="118"/>
    </row>
    <row r="268" spans="1:47" s="109" customFormat="1" ht="12.75">
      <c r="A268" s="57"/>
      <c r="E268" s="57"/>
      <c r="F268" s="209"/>
      <c r="G268" s="209"/>
      <c r="H268" s="62"/>
      <c r="I268" s="62"/>
      <c r="J268" s="62"/>
      <c r="K268" s="62"/>
      <c r="L268" s="117"/>
      <c r="Q268" s="57"/>
      <c r="AB268" s="62"/>
      <c r="AC268" s="62"/>
      <c r="AG268" s="57"/>
      <c r="AR268" s="111"/>
      <c r="AU268" s="118"/>
    </row>
    <row r="269" spans="1:47" s="109" customFormat="1" ht="12.75">
      <c r="A269" s="57"/>
      <c r="E269" s="57"/>
      <c r="F269" s="209"/>
      <c r="G269" s="209"/>
      <c r="H269" s="62"/>
      <c r="I269" s="62"/>
      <c r="J269" s="62"/>
      <c r="K269" s="62"/>
      <c r="L269" s="117"/>
      <c r="Q269" s="57"/>
      <c r="AB269" s="62"/>
      <c r="AC269" s="62"/>
      <c r="AG269" s="57"/>
      <c r="AR269" s="111"/>
      <c r="AU269" s="118"/>
    </row>
    <row r="270" spans="1:47" s="109" customFormat="1" ht="12.75">
      <c r="A270" s="57"/>
      <c r="E270" s="57"/>
      <c r="F270" s="209"/>
      <c r="G270" s="209"/>
      <c r="H270" s="62"/>
      <c r="I270" s="62"/>
      <c r="J270" s="62"/>
      <c r="K270" s="62"/>
      <c r="L270" s="117"/>
      <c r="Q270" s="57"/>
      <c r="AB270" s="62"/>
      <c r="AC270" s="62"/>
      <c r="AG270" s="57"/>
      <c r="AR270" s="111"/>
      <c r="AU270" s="118"/>
    </row>
    <row r="271" spans="1:47" s="109" customFormat="1" ht="12.75">
      <c r="A271" s="57"/>
      <c r="E271" s="57"/>
      <c r="F271" s="209"/>
      <c r="G271" s="209"/>
      <c r="H271" s="62"/>
      <c r="I271" s="62"/>
      <c r="J271" s="62"/>
      <c r="K271" s="62"/>
      <c r="L271" s="117"/>
      <c r="Q271" s="57"/>
      <c r="AB271" s="62"/>
      <c r="AC271" s="62"/>
      <c r="AG271" s="57"/>
      <c r="AR271" s="111"/>
      <c r="AU271" s="118"/>
    </row>
    <row r="272" spans="1:47" s="109" customFormat="1" ht="12.75">
      <c r="A272" s="57"/>
      <c r="E272" s="57"/>
      <c r="F272" s="209"/>
      <c r="G272" s="209"/>
      <c r="H272" s="62"/>
      <c r="I272" s="62"/>
      <c r="J272" s="62"/>
      <c r="K272" s="62"/>
      <c r="L272" s="117"/>
      <c r="Q272" s="57"/>
      <c r="AB272" s="62"/>
      <c r="AC272" s="62"/>
      <c r="AG272" s="57"/>
      <c r="AR272" s="111"/>
      <c r="AU272" s="118"/>
    </row>
    <row r="273" spans="1:47" s="109" customFormat="1" ht="12.75">
      <c r="A273" s="57"/>
      <c r="E273" s="57"/>
      <c r="F273" s="209"/>
      <c r="G273" s="209"/>
      <c r="H273" s="62"/>
      <c r="I273" s="62"/>
      <c r="J273" s="62"/>
      <c r="K273" s="62"/>
      <c r="L273" s="117"/>
      <c r="Q273" s="57"/>
      <c r="AB273" s="62"/>
      <c r="AC273" s="62"/>
      <c r="AG273" s="57"/>
      <c r="AR273" s="111"/>
      <c r="AU273" s="118"/>
    </row>
    <row r="274" spans="1:47" s="109" customFormat="1" ht="12.75">
      <c r="A274" s="57"/>
      <c r="E274" s="57"/>
      <c r="F274" s="209"/>
      <c r="G274" s="209"/>
      <c r="H274" s="62"/>
      <c r="I274" s="62"/>
      <c r="J274" s="62"/>
      <c r="K274" s="62"/>
      <c r="L274" s="117"/>
      <c r="Q274" s="57"/>
      <c r="AB274" s="62"/>
      <c r="AC274" s="62"/>
      <c r="AG274" s="57"/>
      <c r="AR274" s="111"/>
      <c r="AU274" s="118"/>
    </row>
    <row r="275" spans="1:47" s="109" customFormat="1" ht="12.75">
      <c r="A275" s="57"/>
      <c r="E275" s="57"/>
      <c r="F275" s="209"/>
      <c r="G275" s="209"/>
      <c r="H275" s="62"/>
      <c r="I275" s="62"/>
      <c r="J275" s="62"/>
      <c r="K275" s="62"/>
      <c r="L275" s="117"/>
      <c r="Q275" s="57"/>
      <c r="AB275" s="62"/>
      <c r="AC275" s="62"/>
      <c r="AG275" s="57"/>
      <c r="AR275" s="111"/>
      <c r="AU275" s="118"/>
    </row>
    <row r="276" spans="1:47" s="109" customFormat="1" ht="12.75">
      <c r="A276" s="57"/>
      <c r="E276" s="57"/>
      <c r="F276" s="209"/>
      <c r="G276" s="209"/>
      <c r="H276" s="62"/>
      <c r="I276" s="62"/>
      <c r="J276" s="62"/>
      <c r="K276" s="62"/>
      <c r="L276" s="117"/>
      <c r="Q276" s="57"/>
      <c r="AB276" s="62"/>
      <c r="AC276" s="62"/>
      <c r="AG276" s="57"/>
      <c r="AR276" s="111"/>
      <c r="AU276" s="118"/>
    </row>
    <row r="277" spans="1:47" s="109" customFormat="1" ht="12.75">
      <c r="A277" s="57"/>
      <c r="E277" s="57"/>
      <c r="F277" s="209"/>
      <c r="G277" s="209"/>
      <c r="H277" s="62"/>
      <c r="I277" s="62"/>
      <c r="J277" s="62"/>
      <c r="K277" s="62"/>
      <c r="L277" s="117"/>
      <c r="Q277" s="57"/>
      <c r="AB277" s="62"/>
      <c r="AC277" s="62"/>
      <c r="AG277" s="57"/>
      <c r="AR277" s="111"/>
      <c r="AU277" s="118"/>
    </row>
    <row r="278" spans="1:47" s="109" customFormat="1" ht="12.75">
      <c r="A278" s="57"/>
      <c r="E278" s="57"/>
      <c r="F278" s="209"/>
      <c r="G278" s="209"/>
      <c r="H278" s="62"/>
      <c r="I278" s="62"/>
      <c r="J278" s="62"/>
      <c r="K278" s="62"/>
      <c r="L278" s="117"/>
      <c r="Q278" s="57"/>
      <c r="AB278" s="62"/>
      <c r="AC278" s="62"/>
      <c r="AG278" s="57"/>
      <c r="AR278" s="111"/>
      <c r="AU278" s="118"/>
    </row>
    <row r="279" spans="1:47" s="109" customFormat="1" ht="12.75">
      <c r="A279" s="57"/>
      <c r="E279" s="57"/>
      <c r="F279" s="209"/>
      <c r="G279" s="209"/>
      <c r="H279" s="62"/>
      <c r="I279" s="62"/>
      <c r="J279" s="62"/>
      <c r="K279" s="62"/>
      <c r="L279" s="117"/>
      <c r="Q279" s="57"/>
      <c r="AB279" s="62"/>
      <c r="AC279" s="62"/>
      <c r="AG279" s="57"/>
      <c r="AR279" s="111"/>
      <c r="AU279" s="118"/>
    </row>
    <row r="280" spans="1:47" s="109" customFormat="1" ht="12.75">
      <c r="A280" s="57"/>
      <c r="E280" s="57"/>
      <c r="F280" s="209"/>
      <c r="G280" s="209"/>
      <c r="H280" s="62"/>
      <c r="I280" s="62"/>
      <c r="J280" s="62"/>
      <c r="K280" s="62"/>
      <c r="L280" s="117"/>
      <c r="Q280" s="57"/>
      <c r="AB280" s="62"/>
      <c r="AC280" s="62"/>
      <c r="AG280" s="57"/>
      <c r="AR280" s="111"/>
      <c r="AU280" s="118"/>
    </row>
    <row r="281" spans="1:47" s="109" customFormat="1" ht="12.75">
      <c r="A281" s="57"/>
      <c r="E281" s="57"/>
      <c r="F281" s="209"/>
      <c r="G281" s="209"/>
      <c r="H281" s="62"/>
      <c r="I281" s="62"/>
      <c r="J281" s="62"/>
      <c r="K281" s="62"/>
      <c r="L281" s="117"/>
      <c r="Q281" s="57"/>
      <c r="AB281" s="62"/>
      <c r="AC281" s="62"/>
      <c r="AG281" s="57"/>
      <c r="AR281" s="111"/>
      <c r="AU281" s="118"/>
    </row>
    <row r="282" spans="1:47" s="109" customFormat="1" ht="12.75">
      <c r="A282" s="57"/>
      <c r="E282" s="57"/>
      <c r="F282" s="209"/>
      <c r="G282" s="209"/>
      <c r="H282" s="62"/>
      <c r="I282" s="62"/>
      <c r="J282" s="62"/>
      <c r="K282" s="62"/>
      <c r="L282" s="117"/>
      <c r="Q282" s="57"/>
      <c r="AB282" s="62"/>
      <c r="AC282" s="62"/>
      <c r="AG282" s="57"/>
      <c r="AR282" s="111"/>
      <c r="AU282" s="118"/>
    </row>
    <row r="283" spans="1:47" s="109" customFormat="1" ht="12.75">
      <c r="A283" s="57"/>
      <c r="E283" s="57"/>
      <c r="F283" s="209"/>
      <c r="G283" s="209"/>
      <c r="H283" s="62"/>
      <c r="I283" s="62"/>
      <c r="J283" s="62"/>
      <c r="K283" s="62"/>
      <c r="L283" s="117"/>
      <c r="Q283" s="57"/>
      <c r="AB283" s="62"/>
      <c r="AC283" s="62"/>
      <c r="AG283" s="57"/>
      <c r="AR283" s="111"/>
      <c r="AU283" s="118"/>
    </row>
    <row r="284" spans="1:47" s="109" customFormat="1" ht="12.75">
      <c r="A284" s="57"/>
      <c r="E284" s="57"/>
      <c r="F284" s="209"/>
      <c r="G284" s="209"/>
      <c r="H284" s="62"/>
      <c r="I284" s="62"/>
      <c r="J284" s="62"/>
      <c r="K284" s="62"/>
      <c r="L284" s="117"/>
      <c r="Q284" s="57"/>
      <c r="AB284" s="62"/>
      <c r="AC284" s="62"/>
      <c r="AG284" s="57"/>
      <c r="AR284" s="111"/>
      <c r="AU284" s="118"/>
    </row>
    <row r="285" spans="1:47" s="109" customFormat="1" ht="12.75">
      <c r="A285" s="57"/>
      <c r="E285" s="57"/>
      <c r="F285" s="209"/>
      <c r="G285" s="209"/>
      <c r="H285" s="62"/>
      <c r="I285" s="62"/>
      <c r="J285" s="62"/>
      <c r="K285" s="62"/>
      <c r="L285" s="117"/>
      <c r="Q285" s="57"/>
      <c r="AB285" s="62"/>
      <c r="AC285" s="62"/>
      <c r="AG285" s="57"/>
      <c r="AR285" s="111"/>
      <c r="AU285" s="118"/>
    </row>
    <row r="286" spans="1:47" s="109" customFormat="1" ht="12.75">
      <c r="A286" s="57"/>
      <c r="E286" s="57"/>
      <c r="F286" s="209"/>
      <c r="G286" s="209"/>
      <c r="H286" s="62"/>
      <c r="I286" s="62"/>
      <c r="J286" s="62"/>
      <c r="K286" s="62"/>
      <c r="L286" s="117"/>
      <c r="Q286" s="57"/>
      <c r="AB286" s="62"/>
      <c r="AC286" s="62"/>
      <c r="AG286" s="57"/>
      <c r="AR286" s="111"/>
      <c r="AU286" s="118"/>
    </row>
    <row r="287" spans="1:47" s="109" customFormat="1" ht="12.75">
      <c r="A287" s="57"/>
      <c r="E287" s="57"/>
      <c r="F287" s="209"/>
      <c r="G287" s="209"/>
      <c r="H287" s="62"/>
      <c r="I287" s="62"/>
      <c r="J287" s="62"/>
      <c r="K287" s="62"/>
      <c r="L287" s="117"/>
      <c r="Q287" s="57"/>
      <c r="AB287" s="62"/>
      <c r="AC287" s="62"/>
      <c r="AG287" s="57"/>
      <c r="AR287" s="111"/>
      <c r="AU287" s="118"/>
    </row>
    <row r="288" spans="1:47" s="109" customFormat="1" ht="12.75">
      <c r="A288" s="57"/>
      <c r="E288" s="57"/>
      <c r="F288" s="209"/>
      <c r="G288" s="209"/>
      <c r="H288" s="62"/>
      <c r="I288" s="62"/>
      <c r="J288" s="62"/>
      <c r="K288" s="62"/>
      <c r="L288" s="117"/>
      <c r="Q288" s="57"/>
      <c r="AB288" s="62"/>
      <c r="AC288" s="62"/>
      <c r="AG288" s="57"/>
      <c r="AR288" s="111"/>
      <c r="AU288" s="118"/>
    </row>
    <row r="289" spans="1:47" s="109" customFormat="1" ht="12.75">
      <c r="A289" s="57"/>
      <c r="E289" s="57"/>
      <c r="F289" s="209"/>
      <c r="G289" s="209"/>
      <c r="H289" s="62"/>
      <c r="I289" s="62"/>
      <c r="J289" s="62"/>
      <c r="K289" s="62"/>
      <c r="L289" s="117"/>
      <c r="Q289" s="57"/>
      <c r="AB289" s="62"/>
      <c r="AC289" s="62"/>
      <c r="AG289" s="57"/>
      <c r="AR289" s="111"/>
      <c r="AU289" s="118"/>
    </row>
    <row r="290" spans="1:47" s="109" customFormat="1" ht="12.75">
      <c r="A290" s="57"/>
      <c r="E290" s="57"/>
      <c r="F290" s="209"/>
      <c r="G290" s="209"/>
      <c r="H290" s="62"/>
      <c r="I290" s="62"/>
      <c r="J290" s="62"/>
      <c r="K290" s="62"/>
      <c r="L290" s="117"/>
      <c r="Q290" s="57"/>
      <c r="AB290" s="62"/>
      <c r="AC290" s="62"/>
      <c r="AG290" s="57"/>
      <c r="AR290" s="111"/>
      <c r="AU290" s="118"/>
    </row>
    <row r="291" spans="1:47" s="109" customFormat="1" ht="12.75">
      <c r="A291" s="57"/>
      <c r="E291" s="57"/>
      <c r="F291" s="209"/>
      <c r="G291" s="209"/>
      <c r="H291" s="62"/>
      <c r="I291" s="62"/>
      <c r="J291" s="62"/>
      <c r="K291" s="62"/>
      <c r="L291" s="117"/>
      <c r="Q291" s="57"/>
      <c r="AB291" s="62"/>
      <c r="AC291" s="62"/>
      <c r="AG291" s="57"/>
      <c r="AR291" s="111"/>
      <c r="AU291" s="118"/>
    </row>
    <row r="292" spans="1:47" s="109" customFormat="1" ht="12.75">
      <c r="A292" s="57"/>
      <c r="E292" s="57"/>
      <c r="F292" s="209"/>
      <c r="G292" s="209"/>
      <c r="H292" s="62"/>
      <c r="I292" s="62"/>
      <c r="J292" s="62"/>
      <c r="K292" s="62"/>
      <c r="L292" s="117"/>
      <c r="Q292" s="57"/>
      <c r="AB292" s="62"/>
      <c r="AC292" s="62"/>
      <c r="AG292" s="57"/>
      <c r="AR292" s="111"/>
      <c r="AU292" s="118"/>
    </row>
    <row r="293" spans="1:47" s="109" customFormat="1" ht="12.75">
      <c r="A293" s="57"/>
      <c r="E293" s="57"/>
      <c r="F293" s="209"/>
      <c r="G293" s="209"/>
      <c r="H293" s="62"/>
      <c r="I293" s="62"/>
      <c r="J293" s="62"/>
      <c r="K293" s="62"/>
      <c r="L293" s="117"/>
      <c r="Q293" s="57"/>
      <c r="AB293" s="62"/>
      <c r="AC293" s="62"/>
      <c r="AG293" s="57"/>
      <c r="AR293" s="111"/>
      <c r="AU293" s="118"/>
    </row>
    <row r="294" spans="1:47" s="109" customFormat="1" ht="12.75">
      <c r="A294" s="57"/>
      <c r="E294" s="57"/>
      <c r="F294" s="209"/>
      <c r="G294" s="209"/>
      <c r="H294" s="62"/>
      <c r="I294" s="62"/>
      <c r="J294" s="62"/>
      <c r="K294" s="62"/>
      <c r="L294" s="117"/>
      <c r="Q294" s="57"/>
      <c r="AB294" s="62"/>
      <c r="AC294" s="62"/>
      <c r="AG294" s="57"/>
      <c r="AR294" s="111"/>
      <c r="AU294" s="118"/>
    </row>
    <row r="295" spans="1:47" s="109" customFormat="1" ht="12.75">
      <c r="A295" s="57"/>
      <c r="E295" s="57"/>
      <c r="F295" s="209"/>
      <c r="G295" s="209"/>
      <c r="H295" s="62"/>
      <c r="I295" s="62"/>
      <c r="J295" s="62"/>
      <c r="K295" s="62"/>
      <c r="L295" s="117"/>
      <c r="Q295" s="57"/>
      <c r="AB295" s="62"/>
      <c r="AC295" s="62"/>
      <c r="AG295" s="57"/>
      <c r="AR295" s="111"/>
      <c r="AU295" s="118"/>
    </row>
    <row r="296" spans="1:47" s="109" customFormat="1" ht="12.75">
      <c r="A296" s="57"/>
      <c r="E296" s="57"/>
      <c r="F296" s="209"/>
      <c r="G296" s="209"/>
      <c r="H296" s="62"/>
      <c r="I296" s="62"/>
      <c r="J296" s="62"/>
      <c r="K296" s="62"/>
      <c r="L296" s="117"/>
      <c r="Q296" s="57"/>
      <c r="AB296" s="62"/>
      <c r="AC296" s="62"/>
      <c r="AG296" s="57"/>
      <c r="AR296" s="111"/>
      <c r="AU296" s="118"/>
    </row>
    <row r="297" spans="1:47" s="109" customFormat="1" ht="12.75">
      <c r="A297" s="57"/>
      <c r="E297" s="57"/>
      <c r="F297" s="209"/>
      <c r="G297" s="209"/>
      <c r="H297" s="62"/>
      <c r="I297" s="62"/>
      <c r="J297" s="62"/>
      <c r="K297" s="62"/>
      <c r="L297" s="117"/>
      <c r="Q297" s="57"/>
      <c r="AB297" s="62"/>
      <c r="AC297" s="62"/>
      <c r="AG297" s="57"/>
      <c r="AR297" s="111"/>
      <c r="AU297" s="118"/>
    </row>
    <row r="298" spans="1:47" s="109" customFormat="1" ht="12.75">
      <c r="A298" s="57"/>
      <c r="E298" s="57"/>
      <c r="F298" s="209"/>
      <c r="G298" s="209"/>
      <c r="H298" s="62"/>
      <c r="I298" s="62"/>
      <c r="J298" s="62"/>
      <c r="K298" s="62"/>
      <c r="L298" s="117"/>
      <c r="Q298" s="57"/>
      <c r="AB298" s="62"/>
      <c r="AC298" s="62"/>
      <c r="AG298" s="57"/>
      <c r="AR298" s="111"/>
      <c r="AU298" s="118"/>
    </row>
    <row r="299" spans="1:47" s="109" customFormat="1" ht="12.75">
      <c r="A299" s="57"/>
      <c r="E299" s="57"/>
      <c r="F299" s="209"/>
      <c r="G299" s="209"/>
      <c r="H299" s="62"/>
      <c r="I299" s="62"/>
      <c r="J299" s="62"/>
      <c r="K299" s="62"/>
      <c r="L299" s="117"/>
      <c r="Q299" s="57"/>
      <c r="AB299" s="62"/>
      <c r="AC299" s="62"/>
      <c r="AG299" s="57"/>
      <c r="AR299" s="111"/>
      <c r="AU299" s="118"/>
    </row>
    <row r="300" spans="1:47" s="109" customFormat="1" ht="12.75">
      <c r="A300" s="57"/>
      <c r="E300" s="57"/>
      <c r="F300" s="209"/>
      <c r="G300" s="209"/>
      <c r="H300" s="62"/>
      <c r="I300" s="62"/>
      <c r="J300" s="62"/>
      <c r="K300" s="62"/>
      <c r="L300" s="117"/>
      <c r="Q300" s="57"/>
      <c r="AB300" s="62"/>
      <c r="AC300" s="62"/>
      <c r="AG300" s="57"/>
      <c r="AR300" s="111"/>
      <c r="AU300" s="118"/>
    </row>
    <row r="301" spans="1:47" s="109" customFormat="1" ht="12.75">
      <c r="A301" s="57"/>
      <c r="E301" s="57"/>
      <c r="F301" s="209"/>
      <c r="G301" s="209"/>
      <c r="H301" s="62"/>
      <c r="I301" s="62"/>
      <c r="J301" s="62"/>
      <c r="K301" s="62"/>
      <c r="L301" s="117"/>
      <c r="Q301" s="57"/>
      <c r="AB301" s="62"/>
      <c r="AC301" s="62"/>
      <c r="AG301" s="57"/>
      <c r="AR301" s="111"/>
      <c r="AU301" s="118"/>
    </row>
    <row r="302" spans="1:47" s="109" customFormat="1" ht="12.75">
      <c r="A302" s="57"/>
      <c r="E302" s="57"/>
      <c r="F302" s="209"/>
      <c r="G302" s="209"/>
      <c r="H302" s="62"/>
      <c r="I302" s="62"/>
      <c r="J302" s="62"/>
      <c r="K302" s="62"/>
      <c r="L302" s="117"/>
      <c r="Q302" s="57"/>
      <c r="AB302" s="62"/>
      <c r="AC302" s="62"/>
      <c r="AG302" s="57"/>
      <c r="AR302" s="111"/>
      <c r="AU302" s="118"/>
    </row>
    <row r="303" spans="1:47" s="109" customFormat="1" ht="12.75">
      <c r="A303" s="57"/>
      <c r="E303" s="57"/>
      <c r="F303" s="209"/>
      <c r="G303" s="209"/>
      <c r="H303" s="62"/>
      <c r="I303" s="62"/>
      <c r="J303" s="62"/>
      <c r="K303" s="62"/>
      <c r="L303" s="117"/>
      <c r="Q303" s="57"/>
      <c r="AB303" s="62"/>
      <c r="AC303" s="62"/>
      <c r="AG303" s="57"/>
      <c r="AR303" s="111"/>
      <c r="AU303" s="118"/>
    </row>
    <row r="304" spans="1:47" s="109" customFormat="1" ht="12.75">
      <c r="A304" s="57"/>
      <c r="E304" s="57"/>
      <c r="F304" s="209"/>
      <c r="G304" s="209"/>
      <c r="H304" s="62"/>
      <c r="I304" s="62"/>
      <c r="J304" s="62"/>
      <c r="K304" s="62"/>
      <c r="L304" s="117"/>
      <c r="Q304" s="57"/>
      <c r="AB304" s="62"/>
      <c r="AC304" s="62"/>
      <c r="AG304" s="57"/>
      <c r="AR304" s="111"/>
      <c r="AU304" s="118"/>
    </row>
    <row r="305" spans="1:47" s="109" customFormat="1" ht="12.75">
      <c r="A305" s="57"/>
      <c r="E305" s="57"/>
      <c r="F305" s="209"/>
      <c r="G305" s="209"/>
      <c r="H305" s="62"/>
      <c r="I305" s="62"/>
      <c r="J305" s="62"/>
      <c r="K305" s="62"/>
      <c r="L305" s="117"/>
      <c r="Q305" s="57"/>
      <c r="AB305" s="62"/>
      <c r="AC305" s="62"/>
      <c r="AG305" s="57"/>
      <c r="AR305" s="111"/>
      <c r="AU305" s="118"/>
    </row>
    <row r="306" spans="1:47" s="109" customFormat="1" ht="12.75">
      <c r="A306" s="57"/>
      <c r="E306" s="57"/>
      <c r="F306" s="209"/>
      <c r="G306" s="209"/>
      <c r="H306" s="62"/>
      <c r="I306" s="62"/>
      <c r="J306" s="62"/>
      <c r="K306" s="62"/>
      <c r="L306" s="117"/>
      <c r="Q306" s="57"/>
      <c r="AB306" s="62"/>
      <c r="AC306" s="62"/>
      <c r="AG306" s="57"/>
      <c r="AR306" s="111"/>
      <c r="AU306" s="118"/>
    </row>
    <row r="307" spans="1:47" s="109" customFormat="1" ht="12.75">
      <c r="A307" s="57"/>
      <c r="E307" s="57"/>
      <c r="F307" s="209"/>
      <c r="G307" s="209"/>
      <c r="H307" s="62"/>
      <c r="I307" s="62"/>
      <c r="J307" s="62"/>
      <c r="K307" s="62"/>
      <c r="L307" s="117"/>
      <c r="Q307" s="57"/>
      <c r="AB307" s="62"/>
      <c r="AC307" s="62"/>
      <c r="AG307" s="57"/>
      <c r="AR307" s="111"/>
      <c r="AU307" s="118"/>
    </row>
    <row r="308" spans="1:47" s="109" customFormat="1" ht="12.75">
      <c r="A308" s="57"/>
      <c r="E308" s="57"/>
      <c r="F308" s="209"/>
      <c r="G308" s="209"/>
      <c r="H308" s="62"/>
      <c r="I308" s="62"/>
      <c r="J308" s="62"/>
      <c r="K308" s="62"/>
      <c r="L308" s="117"/>
      <c r="Q308" s="57"/>
      <c r="AB308" s="62"/>
      <c r="AC308" s="62"/>
      <c r="AG308" s="57"/>
      <c r="AR308" s="111"/>
      <c r="AU308" s="118"/>
    </row>
    <row r="309" spans="1:47" s="109" customFormat="1" ht="12.75">
      <c r="A309" s="57"/>
      <c r="E309" s="57"/>
      <c r="F309" s="209"/>
      <c r="G309" s="209"/>
      <c r="H309" s="62"/>
      <c r="I309" s="62"/>
      <c r="J309" s="62"/>
      <c r="K309" s="62"/>
      <c r="L309" s="117"/>
      <c r="Q309" s="57"/>
      <c r="AB309" s="62"/>
      <c r="AC309" s="62"/>
      <c r="AG309" s="57"/>
      <c r="AR309" s="111"/>
      <c r="AU309" s="118"/>
    </row>
    <row r="310" spans="1:47" s="109" customFormat="1" ht="12.75">
      <c r="A310" s="57"/>
      <c r="E310" s="57"/>
      <c r="F310" s="209"/>
      <c r="G310" s="209"/>
      <c r="H310" s="62"/>
      <c r="I310" s="62"/>
      <c r="J310" s="62"/>
      <c r="K310" s="62"/>
      <c r="L310" s="117"/>
      <c r="Q310" s="57"/>
      <c r="AB310" s="62"/>
      <c r="AC310" s="62"/>
      <c r="AG310" s="57"/>
      <c r="AR310" s="111"/>
      <c r="AU310" s="118"/>
    </row>
    <row r="311" spans="1:47" s="109" customFormat="1" ht="12.75">
      <c r="A311" s="57"/>
      <c r="E311" s="57"/>
      <c r="F311" s="209"/>
      <c r="G311" s="209"/>
      <c r="H311" s="62"/>
      <c r="I311" s="62"/>
      <c r="J311" s="62"/>
      <c r="K311" s="62"/>
      <c r="L311" s="117"/>
      <c r="Q311" s="57"/>
      <c r="AB311" s="62"/>
      <c r="AC311" s="62"/>
      <c r="AG311" s="57"/>
      <c r="AR311" s="111"/>
      <c r="AU311" s="118"/>
    </row>
    <row r="312" spans="1:47" s="109" customFormat="1" ht="12.75">
      <c r="A312" s="57"/>
      <c r="E312" s="57"/>
      <c r="F312" s="209"/>
      <c r="G312" s="209"/>
      <c r="H312" s="62"/>
      <c r="I312" s="62"/>
      <c r="J312" s="62"/>
      <c r="K312" s="62"/>
      <c r="L312" s="117"/>
      <c r="Q312" s="57"/>
      <c r="AB312" s="62"/>
      <c r="AC312" s="62"/>
      <c r="AG312" s="57"/>
      <c r="AR312" s="111"/>
      <c r="AU312" s="118"/>
    </row>
    <row r="313" spans="1:47" s="109" customFormat="1" ht="12.75">
      <c r="A313" s="57"/>
      <c r="E313" s="57"/>
      <c r="F313" s="209"/>
      <c r="G313" s="209"/>
      <c r="H313" s="62"/>
      <c r="I313" s="62"/>
      <c r="J313" s="62"/>
      <c r="K313" s="62"/>
      <c r="L313" s="117"/>
      <c r="Q313" s="57"/>
      <c r="AB313" s="62"/>
      <c r="AC313" s="62"/>
      <c r="AG313" s="57"/>
      <c r="AR313" s="111"/>
      <c r="AU313" s="118"/>
    </row>
    <row r="314" spans="1:47" s="109" customFormat="1" ht="12.75">
      <c r="A314" s="57"/>
      <c r="E314" s="57"/>
      <c r="F314" s="209"/>
      <c r="G314" s="209"/>
      <c r="H314" s="62"/>
      <c r="I314" s="62"/>
      <c r="J314" s="62"/>
      <c r="K314" s="62"/>
      <c r="L314" s="117"/>
      <c r="Q314" s="57"/>
      <c r="AB314" s="62"/>
      <c r="AC314" s="62"/>
      <c r="AG314" s="57"/>
      <c r="AR314" s="111"/>
      <c r="AU314" s="118"/>
    </row>
    <row r="315" spans="1:47" s="109" customFormat="1" ht="12.75">
      <c r="A315" s="57"/>
      <c r="E315" s="57"/>
      <c r="F315" s="209"/>
      <c r="G315" s="209"/>
      <c r="H315" s="62"/>
      <c r="I315" s="62"/>
      <c r="J315" s="62"/>
      <c r="K315" s="62"/>
      <c r="L315" s="117"/>
      <c r="Q315" s="57"/>
      <c r="AB315" s="62"/>
      <c r="AC315" s="62"/>
      <c r="AG315" s="57"/>
      <c r="AR315" s="111"/>
      <c r="AU315" s="118"/>
    </row>
    <row r="316" spans="1:47" s="109" customFormat="1" ht="12.75">
      <c r="A316" s="57"/>
      <c r="E316" s="57"/>
      <c r="F316" s="209"/>
      <c r="G316" s="209"/>
      <c r="H316" s="62"/>
      <c r="I316" s="62"/>
      <c r="J316" s="62"/>
      <c r="K316" s="62"/>
      <c r="L316" s="117"/>
      <c r="Q316" s="57"/>
      <c r="AB316" s="62"/>
      <c r="AC316" s="62"/>
      <c r="AG316" s="57"/>
      <c r="AR316" s="111"/>
      <c r="AU316" s="118"/>
    </row>
    <row r="317" spans="1:47" s="109" customFormat="1" ht="12.75">
      <c r="A317" s="57"/>
      <c r="E317" s="57"/>
      <c r="F317" s="209"/>
      <c r="G317" s="209"/>
      <c r="H317" s="62"/>
      <c r="I317" s="62"/>
      <c r="J317" s="62"/>
      <c r="K317" s="62"/>
      <c r="L317" s="117"/>
      <c r="Q317" s="57"/>
      <c r="AB317" s="62"/>
      <c r="AC317" s="62"/>
      <c r="AG317" s="57"/>
      <c r="AR317" s="111"/>
      <c r="AU317" s="118"/>
    </row>
    <row r="318" spans="1:47" s="109" customFormat="1" ht="12.75">
      <c r="A318" s="57"/>
      <c r="E318" s="57"/>
      <c r="F318" s="209"/>
      <c r="G318" s="209"/>
      <c r="H318" s="62"/>
      <c r="I318" s="62"/>
      <c r="J318" s="62"/>
      <c r="K318" s="62"/>
      <c r="L318" s="117"/>
      <c r="Q318" s="57"/>
      <c r="AB318" s="62"/>
      <c r="AC318" s="62"/>
      <c r="AG318" s="57"/>
      <c r="AR318" s="111"/>
      <c r="AU318" s="118"/>
    </row>
    <row r="319" spans="1:47" s="109" customFormat="1" ht="12.75">
      <c r="A319" s="57"/>
      <c r="E319" s="57"/>
      <c r="F319" s="209"/>
      <c r="G319" s="209"/>
      <c r="H319" s="62"/>
      <c r="I319" s="62"/>
      <c r="J319" s="62"/>
      <c r="K319" s="62"/>
      <c r="L319" s="117"/>
      <c r="Q319" s="57"/>
      <c r="AB319" s="62"/>
      <c r="AC319" s="62"/>
      <c r="AG319" s="57"/>
      <c r="AR319" s="111"/>
      <c r="AU319" s="118"/>
    </row>
    <row r="320" spans="1:47" s="109" customFormat="1" ht="12.75">
      <c r="A320" s="57"/>
      <c r="E320" s="57"/>
      <c r="F320" s="209"/>
      <c r="G320" s="209"/>
      <c r="H320" s="62"/>
      <c r="I320" s="62"/>
      <c r="J320" s="62"/>
      <c r="K320" s="62"/>
      <c r="L320" s="117"/>
      <c r="Q320" s="57"/>
      <c r="AB320" s="62"/>
      <c r="AC320" s="62"/>
      <c r="AG320" s="57"/>
      <c r="AR320" s="111"/>
      <c r="AU320" s="118"/>
    </row>
    <row r="321" spans="1:47" s="109" customFormat="1" ht="12.75">
      <c r="A321" s="57"/>
      <c r="E321" s="57"/>
      <c r="F321" s="209"/>
      <c r="G321" s="209"/>
      <c r="H321" s="62"/>
      <c r="I321" s="62"/>
      <c r="J321" s="62"/>
      <c r="K321" s="62"/>
      <c r="L321" s="117"/>
      <c r="Q321" s="57"/>
      <c r="AB321" s="62"/>
      <c r="AC321" s="62"/>
      <c r="AG321" s="57"/>
      <c r="AR321" s="111"/>
      <c r="AU321" s="118"/>
    </row>
    <row r="322" spans="1:47" s="109" customFormat="1" ht="12.75">
      <c r="A322" s="57"/>
      <c r="E322" s="57"/>
      <c r="F322" s="209"/>
      <c r="G322" s="209"/>
      <c r="H322" s="62"/>
      <c r="I322" s="62"/>
      <c r="J322" s="62"/>
      <c r="K322" s="62"/>
      <c r="L322" s="117"/>
      <c r="Q322" s="57"/>
      <c r="AB322" s="62"/>
      <c r="AC322" s="62"/>
      <c r="AG322" s="57"/>
      <c r="AR322" s="111"/>
      <c r="AU322" s="118"/>
    </row>
    <row r="323" spans="1:47" s="109" customFormat="1" ht="12.75">
      <c r="A323" s="57"/>
      <c r="E323" s="57"/>
      <c r="F323" s="209"/>
      <c r="G323" s="209"/>
      <c r="H323" s="62"/>
      <c r="I323" s="62"/>
      <c r="J323" s="62"/>
      <c r="K323" s="62"/>
      <c r="L323" s="117"/>
      <c r="Q323" s="57"/>
      <c r="AB323" s="62"/>
      <c r="AC323" s="62"/>
      <c r="AG323" s="57"/>
      <c r="AR323" s="111"/>
      <c r="AU323" s="118"/>
    </row>
    <row r="324" spans="1:47" s="109" customFormat="1" ht="12.75">
      <c r="A324" s="57"/>
      <c r="E324" s="57"/>
      <c r="F324" s="209"/>
      <c r="G324" s="209"/>
      <c r="H324" s="62"/>
      <c r="I324" s="62"/>
      <c r="J324" s="62"/>
      <c r="K324" s="62"/>
      <c r="L324" s="117"/>
      <c r="Q324" s="57"/>
      <c r="AB324" s="62"/>
      <c r="AC324" s="62"/>
      <c r="AG324" s="57"/>
      <c r="AR324" s="111"/>
      <c r="AU324" s="118"/>
    </row>
    <row r="325" spans="1:47" s="109" customFormat="1" ht="12.75">
      <c r="A325" s="57"/>
      <c r="E325" s="57"/>
      <c r="F325" s="209"/>
      <c r="G325" s="209"/>
      <c r="H325" s="62"/>
      <c r="I325" s="62"/>
      <c r="J325" s="62"/>
      <c r="K325" s="62"/>
      <c r="L325" s="117"/>
      <c r="Q325" s="57"/>
      <c r="AB325" s="62"/>
      <c r="AC325" s="62"/>
      <c r="AG325" s="57"/>
      <c r="AR325" s="111"/>
      <c r="AU325" s="118"/>
    </row>
    <row r="326" spans="1:47" s="109" customFormat="1" ht="12.75">
      <c r="A326" s="57"/>
      <c r="E326" s="57"/>
      <c r="F326" s="209"/>
      <c r="G326" s="209"/>
      <c r="H326" s="62"/>
      <c r="I326" s="62"/>
      <c r="J326" s="62"/>
      <c r="K326" s="62"/>
      <c r="L326" s="117"/>
      <c r="Q326" s="57"/>
      <c r="AB326" s="62"/>
      <c r="AC326" s="62"/>
      <c r="AG326" s="57"/>
      <c r="AR326" s="111"/>
      <c r="AU326" s="118"/>
    </row>
    <row r="327" spans="1:47" s="109" customFormat="1" ht="12.75">
      <c r="A327" s="57"/>
      <c r="E327" s="57"/>
      <c r="F327" s="209"/>
      <c r="G327" s="209"/>
      <c r="H327" s="62"/>
      <c r="I327" s="62"/>
      <c r="J327" s="62"/>
      <c r="K327" s="62"/>
      <c r="L327" s="117"/>
      <c r="Q327" s="57"/>
      <c r="AB327" s="62"/>
      <c r="AC327" s="62"/>
      <c r="AG327" s="57"/>
      <c r="AR327" s="111"/>
      <c r="AU327" s="118"/>
    </row>
    <row r="328" spans="1:47" s="109" customFormat="1" ht="12.75">
      <c r="A328" s="57"/>
      <c r="E328" s="57"/>
      <c r="F328" s="209"/>
      <c r="G328" s="209"/>
      <c r="H328" s="62"/>
      <c r="I328" s="62"/>
      <c r="J328" s="62"/>
      <c r="K328" s="62"/>
      <c r="L328" s="117"/>
      <c r="Q328" s="57"/>
      <c r="AB328" s="62"/>
      <c r="AC328" s="62"/>
      <c r="AG328" s="57"/>
      <c r="AR328" s="111"/>
      <c r="AU328" s="118"/>
    </row>
    <row r="329" spans="1:47" s="109" customFormat="1" ht="12.75">
      <c r="A329" s="57"/>
      <c r="E329" s="57"/>
      <c r="F329" s="209"/>
      <c r="G329" s="209"/>
      <c r="H329" s="62"/>
      <c r="I329" s="62"/>
      <c r="J329" s="62"/>
      <c r="K329" s="62"/>
      <c r="L329" s="117"/>
      <c r="Q329" s="57"/>
      <c r="AB329" s="62"/>
      <c r="AC329" s="62"/>
      <c r="AG329" s="57"/>
      <c r="AR329" s="111"/>
      <c r="AU329" s="118"/>
    </row>
    <row r="330" spans="1:47" s="109" customFormat="1" ht="12.75">
      <c r="A330" s="57"/>
      <c r="E330" s="57"/>
      <c r="F330" s="209"/>
      <c r="G330" s="209"/>
      <c r="H330" s="62"/>
      <c r="I330" s="62"/>
      <c r="J330" s="62"/>
      <c r="K330" s="62"/>
      <c r="L330" s="117"/>
      <c r="Q330" s="57"/>
      <c r="AB330" s="62"/>
      <c r="AC330" s="62"/>
      <c r="AG330" s="57"/>
      <c r="AR330" s="111"/>
      <c r="AU330" s="118"/>
    </row>
    <row r="331" spans="1:47" s="109" customFormat="1" ht="12.75">
      <c r="A331" s="57"/>
      <c r="E331" s="57"/>
      <c r="F331" s="209"/>
      <c r="G331" s="209"/>
      <c r="H331" s="62"/>
      <c r="I331" s="62"/>
      <c r="J331" s="62"/>
      <c r="K331" s="62"/>
      <c r="L331" s="117"/>
      <c r="Q331" s="57"/>
      <c r="AB331" s="62"/>
      <c r="AC331" s="62"/>
      <c r="AG331" s="57"/>
      <c r="AR331" s="111"/>
      <c r="AU331" s="118"/>
    </row>
    <row r="332" spans="1:47" s="109" customFormat="1" ht="12.75">
      <c r="A332" s="57"/>
      <c r="E332" s="57"/>
      <c r="F332" s="209"/>
      <c r="G332" s="209"/>
      <c r="H332" s="62"/>
      <c r="I332" s="62"/>
      <c r="J332" s="62"/>
      <c r="K332" s="62"/>
      <c r="L332" s="117"/>
      <c r="Q332" s="57"/>
      <c r="AB332" s="62"/>
      <c r="AC332" s="62"/>
      <c r="AG332" s="57"/>
      <c r="AR332" s="111"/>
      <c r="AU332" s="118"/>
    </row>
    <row r="333" spans="1:47" s="109" customFormat="1" ht="12.75">
      <c r="A333" s="57"/>
      <c r="E333" s="57"/>
      <c r="F333" s="209"/>
      <c r="G333" s="209"/>
      <c r="H333" s="62"/>
      <c r="I333" s="62"/>
      <c r="J333" s="62"/>
      <c r="K333" s="62"/>
      <c r="L333" s="117"/>
      <c r="Q333" s="57"/>
      <c r="AB333" s="62"/>
      <c r="AC333" s="62"/>
      <c r="AG333" s="57"/>
      <c r="AR333" s="111"/>
      <c r="AU333" s="118"/>
    </row>
    <row r="334" spans="1:47" s="109" customFormat="1" ht="12.75">
      <c r="A334" s="57"/>
      <c r="E334" s="57"/>
      <c r="F334" s="209"/>
      <c r="G334" s="209"/>
      <c r="H334" s="62"/>
      <c r="I334" s="62"/>
      <c r="J334" s="62"/>
      <c r="K334" s="62"/>
      <c r="L334" s="117"/>
      <c r="Q334" s="57"/>
      <c r="AB334" s="62"/>
      <c r="AC334" s="62"/>
      <c r="AG334" s="57"/>
      <c r="AR334" s="111"/>
      <c r="AU334" s="118"/>
    </row>
    <row r="335" spans="1:47" s="109" customFormat="1" ht="12.75">
      <c r="A335" s="57"/>
      <c r="E335" s="57"/>
      <c r="F335" s="209"/>
      <c r="G335" s="209"/>
      <c r="H335" s="62"/>
      <c r="I335" s="62"/>
      <c r="J335" s="62"/>
      <c r="K335" s="62"/>
      <c r="L335" s="117"/>
      <c r="Q335" s="57"/>
      <c r="AB335" s="62"/>
      <c r="AC335" s="62"/>
      <c r="AG335" s="57"/>
      <c r="AR335" s="111"/>
      <c r="AU335" s="118"/>
    </row>
    <row r="336" spans="1:47" s="109" customFormat="1" ht="12.75">
      <c r="A336" s="57"/>
      <c r="E336" s="57"/>
      <c r="F336" s="209"/>
      <c r="G336" s="209"/>
      <c r="H336" s="62"/>
      <c r="I336" s="62"/>
      <c r="J336" s="62"/>
      <c r="K336" s="62"/>
      <c r="L336" s="117"/>
      <c r="Q336" s="57"/>
      <c r="AB336" s="62"/>
      <c r="AC336" s="62"/>
      <c r="AG336" s="57"/>
      <c r="AR336" s="111"/>
      <c r="AU336" s="118"/>
    </row>
    <row r="337" spans="1:47" s="109" customFormat="1" ht="12.75">
      <c r="A337" s="57"/>
      <c r="E337" s="57"/>
      <c r="F337" s="209"/>
      <c r="G337" s="209"/>
      <c r="H337" s="62"/>
      <c r="I337" s="62"/>
      <c r="J337" s="62"/>
      <c r="K337" s="62"/>
      <c r="L337" s="117"/>
      <c r="Q337" s="57"/>
      <c r="AB337" s="62"/>
      <c r="AC337" s="62"/>
      <c r="AG337" s="57"/>
      <c r="AR337" s="111"/>
      <c r="AU337" s="118"/>
    </row>
    <row r="338" spans="1:47" s="109" customFormat="1" ht="12.75">
      <c r="A338" s="57"/>
      <c r="E338" s="57"/>
      <c r="F338" s="209"/>
      <c r="G338" s="209"/>
      <c r="H338" s="62"/>
      <c r="I338" s="62"/>
      <c r="J338" s="62"/>
      <c r="K338" s="62"/>
      <c r="L338" s="117"/>
      <c r="Q338" s="57"/>
      <c r="AB338" s="62"/>
      <c r="AC338" s="62"/>
      <c r="AG338" s="57"/>
      <c r="AR338" s="111"/>
      <c r="AU338" s="118"/>
    </row>
    <row r="339" spans="1:47" s="109" customFormat="1" ht="12.75">
      <c r="A339" s="57"/>
      <c r="E339" s="57"/>
      <c r="F339" s="209"/>
      <c r="G339" s="209"/>
      <c r="H339" s="62"/>
      <c r="I339" s="62"/>
      <c r="J339" s="62"/>
      <c r="K339" s="62"/>
      <c r="L339" s="117"/>
      <c r="Q339" s="57"/>
      <c r="AB339" s="62"/>
      <c r="AC339" s="62"/>
      <c r="AG339" s="57"/>
      <c r="AR339" s="111"/>
      <c r="AU339" s="118"/>
    </row>
    <row r="340" spans="1:47" s="109" customFormat="1" ht="12.75">
      <c r="A340" s="57"/>
      <c r="E340" s="57"/>
      <c r="F340" s="209"/>
      <c r="G340" s="209"/>
      <c r="H340" s="62"/>
      <c r="I340" s="62"/>
      <c r="J340" s="62"/>
      <c r="K340" s="62"/>
      <c r="L340" s="117"/>
      <c r="Q340" s="57"/>
      <c r="AB340" s="62"/>
      <c r="AC340" s="62"/>
      <c r="AG340" s="57"/>
      <c r="AR340" s="111"/>
      <c r="AU340" s="118"/>
    </row>
    <row r="341" spans="1:47" s="109" customFormat="1" ht="12.75">
      <c r="A341" s="57"/>
      <c r="E341" s="57"/>
      <c r="F341" s="209"/>
      <c r="G341" s="209"/>
      <c r="H341" s="62"/>
      <c r="I341" s="62"/>
      <c r="J341" s="62"/>
      <c r="K341" s="62"/>
      <c r="L341" s="117"/>
      <c r="Q341" s="57"/>
      <c r="AB341" s="62"/>
      <c r="AC341" s="62"/>
      <c r="AG341" s="57"/>
      <c r="AR341" s="111"/>
      <c r="AU341" s="118"/>
    </row>
    <row r="342" spans="1:47" s="109" customFormat="1" ht="12.75">
      <c r="A342" s="57"/>
      <c r="E342" s="57"/>
      <c r="F342" s="209"/>
      <c r="G342" s="209"/>
      <c r="H342" s="62"/>
      <c r="I342" s="62"/>
      <c r="J342" s="62"/>
      <c r="K342" s="62"/>
      <c r="L342" s="117"/>
      <c r="Q342" s="57"/>
      <c r="AB342" s="62"/>
      <c r="AC342" s="62"/>
      <c r="AG342" s="57"/>
      <c r="AR342" s="111"/>
      <c r="AU342" s="118"/>
    </row>
    <row r="343" spans="1:47" s="109" customFormat="1" ht="12.75">
      <c r="A343" s="57"/>
      <c r="E343" s="57"/>
      <c r="F343" s="209"/>
      <c r="G343" s="209"/>
      <c r="H343" s="62"/>
      <c r="I343" s="62"/>
      <c r="J343" s="62"/>
      <c r="K343" s="62"/>
      <c r="L343" s="117"/>
      <c r="Q343" s="57"/>
      <c r="AB343" s="62"/>
      <c r="AC343" s="62"/>
      <c r="AG343" s="57"/>
      <c r="AR343" s="111"/>
      <c r="AU343" s="118"/>
    </row>
    <row r="344" spans="1:47" s="109" customFormat="1" ht="12.75">
      <c r="A344" s="57"/>
      <c r="E344" s="57"/>
      <c r="F344" s="209"/>
      <c r="G344" s="209"/>
      <c r="H344" s="62"/>
      <c r="I344" s="62"/>
      <c r="J344" s="62"/>
      <c r="K344" s="62"/>
      <c r="L344" s="117"/>
      <c r="Q344" s="57"/>
      <c r="AB344" s="62"/>
      <c r="AC344" s="62"/>
      <c r="AG344" s="57"/>
      <c r="AR344" s="111"/>
      <c r="AU344" s="118"/>
    </row>
    <row r="345" spans="1:47" s="109" customFormat="1" ht="12.75">
      <c r="A345" s="57"/>
      <c r="E345" s="57"/>
      <c r="F345" s="209"/>
      <c r="G345" s="209"/>
      <c r="H345" s="62"/>
      <c r="I345" s="62"/>
      <c r="J345" s="62"/>
      <c r="K345" s="62"/>
      <c r="L345" s="117"/>
      <c r="Q345" s="57"/>
      <c r="AB345" s="62"/>
      <c r="AC345" s="62"/>
      <c r="AG345" s="57"/>
      <c r="AR345" s="111"/>
      <c r="AU345" s="118"/>
    </row>
    <row r="346" spans="1:47" s="109" customFormat="1" ht="12.75">
      <c r="A346" s="57"/>
      <c r="E346" s="57"/>
      <c r="F346" s="209"/>
      <c r="G346" s="209"/>
      <c r="H346" s="62"/>
      <c r="I346" s="62"/>
      <c r="J346" s="62"/>
      <c r="K346" s="62"/>
      <c r="L346" s="117"/>
      <c r="Q346" s="57"/>
      <c r="AB346" s="62"/>
      <c r="AC346" s="62"/>
      <c r="AG346" s="57"/>
      <c r="AR346" s="111"/>
      <c r="AU346" s="118"/>
    </row>
    <row r="347" spans="1:47" s="109" customFormat="1" ht="12.75">
      <c r="A347" s="57"/>
      <c r="E347" s="57"/>
      <c r="F347" s="209"/>
      <c r="G347" s="209"/>
      <c r="H347" s="62"/>
      <c r="I347" s="62"/>
      <c r="J347" s="62"/>
      <c r="K347" s="62"/>
      <c r="L347" s="117"/>
      <c r="Q347" s="57"/>
      <c r="AB347" s="62"/>
      <c r="AC347" s="62"/>
      <c r="AG347" s="57"/>
      <c r="AR347" s="111"/>
      <c r="AU347" s="118"/>
    </row>
    <row r="348" spans="1:47" s="109" customFormat="1" ht="12.75">
      <c r="A348" s="57"/>
      <c r="E348" s="57"/>
      <c r="F348" s="209"/>
      <c r="G348" s="209"/>
      <c r="H348" s="62"/>
      <c r="I348" s="62"/>
      <c r="J348" s="62"/>
      <c r="K348" s="62"/>
      <c r="L348" s="117"/>
      <c r="Q348" s="57"/>
      <c r="AB348" s="62"/>
      <c r="AC348" s="62"/>
      <c r="AG348" s="57"/>
      <c r="AR348" s="111"/>
      <c r="AU348" s="118"/>
    </row>
    <row r="349" spans="1:47" s="109" customFormat="1" ht="12.75">
      <c r="A349" s="57"/>
      <c r="E349" s="57"/>
      <c r="F349" s="209"/>
      <c r="G349" s="209"/>
      <c r="H349" s="62"/>
      <c r="I349" s="62"/>
      <c r="J349" s="62"/>
      <c r="K349" s="62"/>
      <c r="L349" s="117"/>
      <c r="Q349" s="57"/>
      <c r="AB349" s="62"/>
      <c r="AC349" s="62"/>
      <c r="AG349" s="57"/>
      <c r="AR349" s="111"/>
      <c r="AU349" s="118"/>
    </row>
    <row r="350" spans="1:47" s="109" customFormat="1" ht="12.75">
      <c r="A350" s="57"/>
      <c r="E350" s="57"/>
      <c r="F350" s="209"/>
      <c r="G350" s="209"/>
      <c r="H350" s="62"/>
      <c r="I350" s="62"/>
      <c r="J350" s="62"/>
      <c r="K350" s="62"/>
      <c r="L350" s="117"/>
      <c r="Q350" s="57"/>
      <c r="AB350" s="62"/>
      <c r="AC350" s="62"/>
      <c r="AG350" s="57"/>
      <c r="AR350" s="111"/>
      <c r="AU350" s="118"/>
    </row>
    <row r="351" spans="1:47" s="109" customFormat="1" ht="12.75">
      <c r="A351" s="57"/>
      <c r="E351" s="57"/>
      <c r="F351" s="209"/>
      <c r="G351" s="209"/>
      <c r="H351" s="62"/>
      <c r="I351" s="62"/>
      <c r="J351" s="62"/>
      <c r="K351" s="62"/>
      <c r="L351" s="117"/>
      <c r="Q351" s="57"/>
      <c r="AB351" s="62"/>
      <c r="AC351" s="62"/>
      <c r="AG351" s="57"/>
      <c r="AR351" s="111"/>
      <c r="AU351" s="118"/>
    </row>
    <row r="352" spans="1:47" s="109" customFormat="1" ht="12.75">
      <c r="A352" s="57"/>
      <c r="E352" s="57"/>
      <c r="F352" s="209"/>
      <c r="G352" s="209"/>
      <c r="H352" s="62"/>
      <c r="I352" s="62"/>
      <c r="J352" s="62"/>
      <c r="K352" s="62"/>
      <c r="L352" s="117"/>
      <c r="Q352" s="57"/>
      <c r="AB352" s="62"/>
      <c r="AC352" s="62"/>
      <c r="AG352" s="57"/>
      <c r="AR352" s="111"/>
      <c r="AU352" s="118"/>
    </row>
    <row r="353" spans="1:47" s="109" customFormat="1" ht="12.75">
      <c r="A353" s="57"/>
      <c r="E353" s="57"/>
      <c r="F353" s="209"/>
      <c r="G353" s="209"/>
      <c r="H353" s="62"/>
      <c r="I353" s="62"/>
      <c r="J353" s="62"/>
      <c r="K353" s="62"/>
      <c r="L353" s="117"/>
      <c r="Q353" s="57"/>
      <c r="AB353" s="62"/>
      <c r="AC353" s="62"/>
      <c r="AG353" s="57"/>
      <c r="AR353" s="111"/>
      <c r="AU353" s="118"/>
    </row>
    <row r="354" spans="1:47" s="109" customFormat="1" ht="12.75">
      <c r="A354" s="57"/>
      <c r="E354" s="57"/>
      <c r="F354" s="209"/>
      <c r="G354" s="209"/>
      <c r="H354" s="62"/>
      <c r="I354" s="62"/>
      <c r="J354" s="62"/>
      <c r="K354" s="62"/>
      <c r="L354" s="117"/>
      <c r="Q354" s="57"/>
      <c r="AB354" s="62"/>
      <c r="AC354" s="62"/>
      <c r="AG354" s="57"/>
      <c r="AR354" s="111"/>
      <c r="AU354" s="118"/>
    </row>
    <row r="355" spans="1:47" s="109" customFormat="1" ht="12.75">
      <c r="A355" s="57"/>
      <c r="E355" s="57"/>
      <c r="F355" s="209"/>
      <c r="G355" s="209"/>
      <c r="H355" s="62"/>
      <c r="I355" s="62"/>
      <c r="J355" s="62"/>
      <c r="K355" s="62"/>
      <c r="L355" s="117"/>
      <c r="Q355" s="57"/>
      <c r="AB355" s="62"/>
      <c r="AC355" s="62"/>
      <c r="AG355" s="57"/>
      <c r="AR355" s="111"/>
      <c r="AU355" s="118"/>
    </row>
    <row r="356" spans="1:47" s="109" customFormat="1" ht="12.75">
      <c r="A356" s="57"/>
      <c r="E356" s="57"/>
      <c r="F356" s="209"/>
      <c r="G356" s="209"/>
      <c r="H356" s="62"/>
      <c r="I356" s="62"/>
      <c r="J356" s="62"/>
      <c r="K356" s="62"/>
      <c r="L356" s="117"/>
      <c r="Q356" s="57"/>
      <c r="AB356" s="62"/>
      <c r="AC356" s="62"/>
      <c r="AG356" s="57"/>
      <c r="AR356" s="111"/>
      <c r="AU356" s="118"/>
    </row>
    <row r="357" spans="1:47" s="109" customFormat="1" ht="12.75">
      <c r="A357" s="57"/>
      <c r="E357" s="57"/>
      <c r="F357" s="209"/>
      <c r="G357" s="209"/>
      <c r="H357" s="62"/>
      <c r="I357" s="62"/>
      <c r="J357" s="62"/>
      <c r="K357" s="62"/>
      <c r="L357" s="117"/>
      <c r="Q357" s="57"/>
      <c r="AB357" s="62"/>
      <c r="AC357" s="62"/>
      <c r="AG357" s="57"/>
      <c r="AR357" s="111"/>
      <c r="AU357" s="118"/>
    </row>
    <row r="358" spans="1:47" s="109" customFormat="1" ht="12.75">
      <c r="A358" s="57"/>
      <c r="E358" s="57"/>
      <c r="F358" s="209"/>
      <c r="G358" s="209"/>
      <c r="H358" s="62"/>
      <c r="I358" s="62"/>
      <c r="J358" s="62"/>
      <c r="K358" s="62"/>
      <c r="L358" s="117"/>
      <c r="Q358" s="57"/>
      <c r="AB358" s="62"/>
      <c r="AC358" s="62"/>
      <c r="AG358" s="57"/>
      <c r="AR358" s="111"/>
      <c r="AU358" s="118"/>
    </row>
    <row r="359" spans="1:47" s="109" customFormat="1" ht="12.75">
      <c r="A359" s="57"/>
      <c r="E359" s="57"/>
      <c r="F359" s="209"/>
      <c r="G359" s="209"/>
      <c r="H359" s="62"/>
      <c r="I359" s="62"/>
      <c r="J359" s="62"/>
      <c r="K359" s="62"/>
      <c r="L359" s="117"/>
      <c r="Q359" s="57"/>
      <c r="AB359" s="62"/>
      <c r="AC359" s="62"/>
      <c r="AG359" s="57"/>
      <c r="AR359" s="111"/>
      <c r="AU359" s="118"/>
    </row>
  </sheetData>
  <sheetProtection formatCells="0" formatColumns="0" formatRows="0" sort="0" autoFilter="0" pivotTables="0"/>
  <mergeCells count="2">
    <mergeCell ref="A1:B1"/>
    <mergeCell ref="A2:H2"/>
  </mergeCells>
  <phoneticPr fontId="50" type="noConversion"/>
  <conditionalFormatting sqref="B60">
    <cfRule type="duplicateValues" dxfId="144" priority="18"/>
  </conditionalFormatting>
  <conditionalFormatting sqref="AN6">
    <cfRule type="iconSet" priority="10">
      <iconSet>
        <cfvo type="percent" val="0"/>
        <cfvo type="percent" val="33"/>
        <cfvo type="percent" val="67"/>
      </iconSet>
    </cfRule>
  </conditionalFormatting>
  <conditionalFormatting sqref="B56">
    <cfRule type="duplicateValues" dxfId="143" priority="1582"/>
  </conditionalFormatting>
  <conditionalFormatting sqref="AO21:AP21 AO35:AP35 AO34 AO56:AP57 AO5:AO20 AO33:AP33 AO31:AO32 AO37:AP41 AO36 AO51:AP52 AO44:AO50 AO30:AP30 AO22:AO29 AO43:AP43 AO42 AO53:AO55 AO58:AO68">
    <cfRule type="iconSet" priority="1644">
      <iconSet showValue="0">
        <cfvo type="percent" val="0"/>
        <cfvo type="num" val="-0.1"/>
        <cfvo type="num" val="0"/>
      </iconSet>
    </cfRule>
  </conditionalFormatting>
  <conditionalFormatting sqref="AM5:AM115">
    <cfRule type="iconSet" priority="1696">
      <iconSet>
        <cfvo type="percent" val="0"/>
        <cfvo type="percent" val="33"/>
        <cfvo type="percent" val="67"/>
      </iconSet>
    </cfRule>
  </conditionalFormatting>
  <conditionalFormatting sqref="A5:A115">
    <cfRule type="duplicateValues" dxfId="142" priority="1698"/>
  </conditionalFormatting>
  <conditionalFormatting sqref="AO84">
    <cfRule type="iconSet" priority="1">
      <iconSet showValue="0">
        <cfvo type="percent" val="0"/>
        <cfvo type="num" val="-0.1"/>
        <cfvo type="num" val="0"/>
      </iconSet>
    </cfRule>
  </conditionalFormatting>
  <dataValidations count="3">
    <dataValidation type="list" allowBlank="1" showInputMessage="1" showErrorMessage="1" sqref="E5 E15:E17 E34 E48:E49 E73 E55 E59 E61 E29 E22:E23 E85:E115" xr:uid="{D2F64CC9-1186-4043-A71F-D323D648CF47}">
      <formula1>"Proyecto, Heredado"</formula1>
    </dataValidation>
    <dataValidation allowBlank="1" showInputMessage="1" showErrorMessage="1" sqref="AS76:AS77 AS74 AS18:AS21 AS24:AS28 AS30:AS33 AG14:AG31 AS35:AS47 AS51:AS54 AS56:AS58 AS60 AS62:AS69 AG5:AG12 AS6:AS14 H5:H115 AS84" xr:uid="{4E4EC82D-2308-4D77-A505-E969365B7E7C}"/>
    <dataValidation type="list" allowBlank="1" showInputMessage="1" showErrorMessage="1" sqref="E74 E18:E21 E24:E33 E35:E47 E50:E54 E56:E58 E60 E62:E72 E6:E14" xr:uid="{896400AC-9FB0-4970-8FB3-89788CFFCB0C}">
      <formula1>"Proyecto, Proyecto-Hijo"</formula1>
    </dataValidation>
  </dataValidations>
  <pageMargins left="0.7" right="0.7" top="0.75" bottom="0.75" header="0.3" footer="0.3"/>
  <pageSetup paperSize="9" orientation="portrait" r:id="rId1"/>
  <ignoredErrors>
    <ignoredError sqref="AV15:AV16 AV30 AV17:AV18 AV23 AV51:AV52 AV19:AV22 AV24:AV25 AV26:AV28 AV31:AV35 AV36:AV41 AV42 AV43:AV44 AV45 AV46:AV47 AV48 AV49 AV53:AV54 AV55 AV56:AV57 AV58:AV59 AV60:AV61" calculatedColumn="1"/>
  </ignoredErrors>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r:uid="{4AC7C092-EC64-4285-9953-401913A913CF}">
          <x14:formula1>
            <xm:f>'C:\Users\lsanchezr\Downloads\[Portafolio_Demanda_TI_DE12.02.2025.xlsm]Definiciones'!#REF!</xm:f>
          </x14:formula1>
          <xm:sqref>AF17 AB17:AB18 AB75</xm:sqref>
        </x14:dataValidation>
        <x14:dataValidation type="list" allowBlank="1" showInputMessage="1" showErrorMessage="1" xr:uid="{77EB2ED6-0486-46F8-A346-F38515824EDC}">
          <x14:formula1>
            <xm:f>Definiciones!$A$225:$A$237</xm:f>
          </x14:formula1>
          <xm:sqref>P5:P79 P84</xm:sqref>
        </x14:dataValidation>
        <x14:dataValidation type="list" allowBlank="1" showInputMessage="1" showErrorMessage="1" xr:uid="{588E41BA-1A87-45F1-94A8-B64DB0C9C8CD}">
          <x14:formula1>
            <xm:f>Definiciones!$A$205:$A$222</xm:f>
          </x14:formula1>
          <xm:sqref>P80 O5:O80 O81:P83 O84</xm:sqref>
        </x14:dataValidation>
        <x14:dataValidation type="list" allowBlank="1" showInputMessage="1" showErrorMessage="1" xr:uid="{FB021ED1-9F75-4673-9597-DD95A8135C35}">
          <x14:formula1>
            <xm:f>Definiciones!$A$186:$A$202</xm:f>
          </x14:formula1>
          <xm:sqref>N5:N115 O85:P115</xm:sqref>
        </x14:dataValidation>
        <x14:dataValidation type="list" allowBlank="1" showInputMessage="1" showErrorMessage="1" xr:uid="{26D0B2D1-4DC1-4D23-AC17-4F49D2CA5281}">
          <x14:formula1>
            <xm:f>Definiciones!$A$64:$A$69</xm:f>
          </x14:formula1>
          <xm:sqref>Q5:Q115</xm:sqref>
        </x14:dataValidation>
        <x14:dataValidation type="list" allowBlank="1" showInputMessage="1" showErrorMessage="1" xr:uid="{DB17DF04-2E06-452C-86C1-0345EEE198B6}">
          <x14:formula1>
            <xm:f>Definiciones!$A$72:$A$83</xm:f>
          </x14:formula1>
          <xm:sqref>R5:R115 S85:T115</xm:sqref>
        </x14:dataValidation>
        <x14:dataValidation type="list" allowBlank="1" showInputMessage="1" showErrorMessage="1" xr:uid="{57A005AE-2FB3-4A6D-A43E-1ECAEE0B52DA}">
          <x14:formula1>
            <xm:f>Definiciones!$A$240:$A$354</xm:f>
          </x14:formula1>
          <xm:sqref>AA5:AA115</xm:sqref>
        </x14:dataValidation>
        <x14:dataValidation type="list" allowBlank="1" showInputMessage="1" showErrorMessage="1" xr:uid="{FCC09038-2919-4B76-812B-CC8E0EDA755C}">
          <x14:formula1>
            <xm:f>Definiciones!$A$86:$A$92</xm:f>
          </x14:formula1>
          <xm:sqref>Z5:Z84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A445-1D6B-4DB3-A7B7-49CD2CEB7C5A}">
  <sheetPr>
    <tabColor rgb="FF00B050"/>
    <pageSetUpPr fitToPage="1"/>
  </sheetPr>
  <dimension ref="B2:BO40"/>
  <sheetViews>
    <sheetView view="pageBreakPreview" zoomScale="70" zoomScaleNormal="70" zoomScaleSheetLayoutView="70" workbookViewId="0">
      <pane xSplit="4" ySplit="3" topLeftCell="BJ4" activePane="bottomRight" state="frozen"/>
      <selection pane="bottomRight" activeCell="BP6" sqref="BP6"/>
      <selection pane="bottomLeft"/>
      <selection pane="topRight"/>
    </sheetView>
  </sheetViews>
  <sheetFormatPr defaultColWidth="9.140625" defaultRowHeight="12.75"/>
  <cols>
    <col min="1" max="1" width="3.28515625" style="60" customWidth="1"/>
    <col min="2" max="2" width="7.5703125" style="60" customWidth="1"/>
    <col min="3" max="3" width="29" style="57" customWidth="1"/>
    <col min="4" max="4" width="38.42578125" style="57" customWidth="1"/>
    <col min="5" max="5" width="38" style="119" customWidth="1"/>
    <col min="6" max="6" width="14.42578125" style="64" bestFit="1" customWidth="1"/>
    <col min="7" max="7" width="13.140625" style="60" bestFit="1" customWidth="1"/>
    <col min="8" max="8" width="13.42578125" style="60" bestFit="1" customWidth="1"/>
    <col min="9" max="9" width="18.5703125" style="64" customWidth="1"/>
    <col min="10" max="10" width="14.42578125" style="60" customWidth="1"/>
    <col min="11" max="11" width="18.42578125" style="120" customWidth="1"/>
    <col min="12" max="12" width="15.5703125" style="60" customWidth="1"/>
    <col min="13" max="13" width="11.28515625" style="60" customWidth="1"/>
    <col min="14" max="58" width="9.140625" style="60" customWidth="1"/>
    <col min="59" max="59" width="8.42578125" style="60" bestFit="1" customWidth="1"/>
    <col min="60" max="60" width="7.28515625" style="60" bestFit="1" customWidth="1"/>
    <col min="61" max="61" width="8.42578125" style="60" bestFit="1" customWidth="1"/>
    <col min="62" max="62" width="7.28515625" style="60" bestFit="1" customWidth="1"/>
    <col min="63" max="66" width="7.28515625" style="60" customWidth="1"/>
    <col min="67" max="67" width="51.28515625" style="63" customWidth="1"/>
    <col min="68" max="16384" width="9.140625" style="60"/>
  </cols>
  <sheetData>
    <row r="2" spans="2:67" ht="36.75" customHeight="1">
      <c r="N2" s="57"/>
      <c r="O2" s="521" t="s">
        <v>887</v>
      </c>
      <c r="P2" s="522"/>
      <c r="Q2" s="521" t="s">
        <v>888</v>
      </c>
      <c r="R2" s="522"/>
      <c r="S2" s="521" t="s">
        <v>889</v>
      </c>
      <c r="T2" s="522"/>
      <c r="U2" s="521" t="s">
        <v>890</v>
      </c>
      <c r="V2" s="522"/>
      <c r="W2" s="521" t="s">
        <v>891</v>
      </c>
      <c r="X2" s="522"/>
      <c r="Y2" s="521" t="s">
        <v>892</v>
      </c>
      <c r="Z2" s="522"/>
      <c r="AA2" s="521" t="s">
        <v>893</v>
      </c>
      <c r="AB2" s="522"/>
      <c r="AC2" s="521" t="s">
        <v>894</v>
      </c>
      <c r="AD2" s="522"/>
      <c r="AE2" s="521" t="s">
        <v>895</v>
      </c>
      <c r="AF2" s="522"/>
      <c r="AG2" s="521" t="s">
        <v>896</v>
      </c>
      <c r="AH2" s="522"/>
      <c r="AI2" s="521" t="s">
        <v>897</v>
      </c>
      <c r="AJ2" s="522"/>
      <c r="AK2" s="521" t="s">
        <v>898</v>
      </c>
      <c r="AL2" s="522"/>
      <c r="AM2" s="523" t="s">
        <v>899</v>
      </c>
      <c r="AN2" s="525"/>
      <c r="AO2" s="523" t="s">
        <v>900</v>
      </c>
      <c r="AP2" s="525"/>
      <c r="AQ2" s="523" t="s">
        <v>901</v>
      </c>
      <c r="AR2" s="525"/>
      <c r="AS2" s="523" t="s">
        <v>902</v>
      </c>
      <c r="AT2" s="525"/>
      <c r="AU2" s="523" t="s">
        <v>903</v>
      </c>
      <c r="AV2" s="525"/>
      <c r="AW2" s="523" t="s">
        <v>904</v>
      </c>
      <c r="AX2" s="525"/>
      <c r="AY2" s="523" t="s">
        <v>905</v>
      </c>
      <c r="AZ2" s="525"/>
      <c r="BA2" s="523" t="s">
        <v>906</v>
      </c>
      <c r="BB2" s="525"/>
      <c r="BC2" s="523" t="s">
        <v>907</v>
      </c>
      <c r="BD2" s="525"/>
      <c r="BE2" s="523" t="s">
        <v>908</v>
      </c>
      <c r="BF2" s="525"/>
      <c r="BG2" s="523" t="s">
        <v>909</v>
      </c>
      <c r="BH2" s="525"/>
      <c r="BI2" s="523" t="s">
        <v>910</v>
      </c>
      <c r="BJ2" s="524"/>
      <c r="BK2" s="520" t="s">
        <v>911</v>
      </c>
      <c r="BL2" s="520"/>
      <c r="BM2" s="520" t="s">
        <v>912</v>
      </c>
      <c r="BN2" s="520"/>
    </row>
    <row r="3" spans="2:67" ht="24">
      <c r="B3" s="121" t="s">
        <v>0</v>
      </c>
      <c r="C3" s="121" t="s">
        <v>913</v>
      </c>
      <c r="D3" s="121" t="s">
        <v>914</v>
      </c>
      <c r="E3" s="121" t="s">
        <v>915</v>
      </c>
      <c r="F3" s="121" t="s">
        <v>916</v>
      </c>
      <c r="G3" s="121" t="s">
        <v>16</v>
      </c>
      <c r="H3" s="121" t="s">
        <v>17</v>
      </c>
      <c r="I3" s="121" t="s">
        <v>4</v>
      </c>
      <c r="J3" s="121" t="s">
        <v>5</v>
      </c>
      <c r="K3" s="122" t="s">
        <v>917</v>
      </c>
      <c r="L3" s="121" t="s">
        <v>14</v>
      </c>
      <c r="M3" s="121" t="s">
        <v>918</v>
      </c>
      <c r="N3" s="123">
        <v>2023</v>
      </c>
      <c r="O3" s="124" t="s">
        <v>919</v>
      </c>
      <c r="P3" s="123" t="s">
        <v>920</v>
      </c>
      <c r="Q3" s="124" t="s">
        <v>919</v>
      </c>
      <c r="R3" s="123" t="s">
        <v>920</v>
      </c>
      <c r="S3" s="124" t="s">
        <v>919</v>
      </c>
      <c r="T3" s="123" t="s">
        <v>920</v>
      </c>
      <c r="U3" s="124" t="s">
        <v>919</v>
      </c>
      <c r="V3" s="123" t="s">
        <v>920</v>
      </c>
      <c r="W3" s="124" t="s">
        <v>919</v>
      </c>
      <c r="X3" s="123" t="s">
        <v>920</v>
      </c>
      <c r="Y3" s="124" t="s">
        <v>919</v>
      </c>
      <c r="Z3" s="123" t="s">
        <v>920</v>
      </c>
      <c r="AA3" s="124" t="s">
        <v>919</v>
      </c>
      <c r="AB3" s="123" t="s">
        <v>920</v>
      </c>
      <c r="AC3" s="124" t="s">
        <v>919</v>
      </c>
      <c r="AD3" s="123" t="s">
        <v>920</v>
      </c>
      <c r="AE3" s="124" t="s">
        <v>919</v>
      </c>
      <c r="AF3" s="123" t="s">
        <v>920</v>
      </c>
      <c r="AG3" s="124" t="s">
        <v>919</v>
      </c>
      <c r="AH3" s="123" t="s">
        <v>920</v>
      </c>
      <c r="AI3" s="124" t="s">
        <v>919</v>
      </c>
      <c r="AJ3" s="123" t="s">
        <v>920</v>
      </c>
      <c r="AK3" s="124" t="s">
        <v>919</v>
      </c>
      <c r="AL3" s="123" t="s">
        <v>920</v>
      </c>
      <c r="AM3" s="125" t="s">
        <v>919</v>
      </c>
      <c r="AN3" s="126" t="s">
        <v>920</v>
      </c>
      <c r="AO3" s="125" t="s">
        <v>919</v>
      </c>
      <c r="AP3" s="126" t="s">
        <v>920</v>
      </c>
      <c r="AQ3" s="125" t="s">
        <v>919</v>
      </c>
      <c r="AR3" s="126" t="s">
        <v>920</v>
      </c>
      <c r="AS3" s="125" t="s">
        <v>919</v>
      </c>
      <c r="AT3" s="126" t="s">
        <v>920</v>
      </c>
      <c r="AU3" s="125" t="s">
        <v>919</v>
      </c>
      <c r="AV3" s="126" t="s">
        <v>920</v>
      </c>
      <c r="AW3" s="125" t="s">
        <v>919</v>
      </c>
      <c r="AX3" s="126" t="s">
        <v>920</v>
      </c>
      <c r="AY3" s="125" t="s">
        <v>919</v>
      </c>
      <c r="AZ3" s="126" t="s">
        <v>920</v>
      </c>
      <c r="BA3" s="125" t="s">
        <v>919</v>
      </c>
      <c r="BB3" s="126" t="s">
        <v>920</v>
      </c>
      <c r="BC3" s="125" t="s">
        <v>919</v>
      </c>
      <c r="BD3" s="126" t="s">
        <v>920</v>
      </c>
      <c r="BE3" s="125" t="s">
        <v>919</v>
      </c>
      <c r="BF3" s="126" t="s">
        <v>920</v>
      </c>
      <c r="BG3" s="125" t="s">
        <v>919</v>
      </c>
      <c r="BH3" s="126" t="s">
        <v>920</v>
      </c>
      <c r="BI3" s="125" t="s">
        <v>919</v>
      </c>
      <c r="BJ3" s="126" t="s">
        <v>920</v>
      </c>
      <c r="BK3" s="468" t="s">
        <v>919</v>
      </c>
      <c r="BL3" s="467" t="s">
        <v>920</v>
      </c>
      <c r="BM3" s="468" t="s">
        <v>919</v>
      </c>
      <c r="BN3" s="467" t="s">
        <v>920</v>
      </c>
      <c r="BO3" s="127" t="s">
        <v>921</v>
      </c>
    </row>
    <row r="4" spans="2:67" ht="28.5" customHeight="1">
      <c r="B4" s="133"/>
      <c r="C4" s="135" t="str">
        <f>'Portafolio P&amp;D'!B3</f>
        <v>Iniciativa</v>
      </c>
      <c r="D4" s="134" t="str">
        <f>'Portafolio P&amp;D'!C3</f>
        <v>Nuevo Pagalo.pe</v>
      </c>
      <c r="E4" s="336" t="str">
        <f>'Portafolio P&amp;D'!D3</f>
        <v xml:space="preserve">Implementar una nueva web que cumpla con características clave, como la simplicidad, la intuitividad y la modernidad. Permitirá a los clientes y ciudadanos realizar de forma rápida y eficiente sus Operaciones de pago de tasas de manera virtual. </v>
      </c>
      <c r="F4" s="339" t="str">
        <f>'Portafolio P&amp;D'!AD3</f>
        <v>04. Cerrado</v>
      </c>
      <c r="G4" s="135">
        <f>'Portafolio P&amp;D'!Q3</f>
        <v>2023</v>
      </c>
      <c r="H4" s="135">
        <f>'Portafolio P&amp;D'!R3</f>
        <v>2025</v>
      </c>
      <c r="I4" s="135" t="str">
        <f>'Portafolio P&amp;D'!E3</f>
        <v>Banca Digital</v>
      </c>
      <c r="J4" s="135" t="str">
        <f>'Portafolio P&amp;D'!F3</f>
        <v>Lenin Valencia</v>
      </c>
      <c r="K4" s="136">
        <f>'Portafolio P&amp;D'!I3</f>
        <v>1500000</v>
      </c>
      <c r="L4" s="135" t="str">
        <f>'Portafolio P&amp;D'!O3</f>
        <v>Servicio a los Clientes</v>
      </c>
      <c r="M4" s="135" t="str">
        <f>'Portafolio P&amp;D'!P3</f>
        <v>De cara al ciudadano</v>
      </c>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41"/>
      <c r="BK4" s="133"/>
      <c r="BL4" s="141"/>
      <c r="BM4" s="141"/>
      <c r="BN4" s="141"/>
      <c r="BO4" s="341"/>
    </row>
    <row r="5" spans="2:67" ht="30" customHeight="1">
      <c r="B5" s="128"/>
      <c r="C5" s="129" t="str">
        <f>'Portafolio P&amp;D'!B4</f>
        <v>Iniciativa</v>
      </c>
      <c r="D5" s="347" t="str">
        <f>'Portafolio P&amp;D'!C4</f>
        <v>Nuevo Plataforma App Mobile BN</v>
      </c>
      <c r="E5" s="337" t="str">
        <f>'Portafolio P&amp;D'!D4</f>
        <v>Implementar una nueva plataforma APP Mobile con funcionalidades adicionales (QR, Pagos) e Integrar más servicios varios a pagar, para ampliar el uso del dinero por canales digitales. A fin de brindar a los usuarios una aplicación y plataforma virtual que les permita migrar sus Operaciones presenciales hacia entornos digitales.</v>
      </c>
      <c r="F5" s="339" t="str">
        <f>'Portafolio P&amp;D'!AD4</f>
        <v>04. Cerrado</v>
      </c>
      <c r="G5" s="129">
        <f>'Portafolio P&amp;D'!Q4</f>
        <v>2023</v>
      </c>
      <c r="H5" s="129">
        <f>'Portafolio P&amp;D'!R4</f>
        <v>2025</v>
      </c>
      <c r="I5" s="129" t="str">
        <f>'Portafolio P&amp;D'!E4</f>
        <v>Banca Digital</v>
      </c>
      <c r="J5" s="129" t="str">
        <f>'Portafolio P&amp;D'!F4</f>
        <v>Lenin Valencia</v>
      </c>
      <c r="K5" s="130">
        <f>'Portafolio P&amp;D'!I4</f>
        <v>2500000</v>
      </c>
      <c r="L5" s="129" t="str">
        <f>'Portafolio P&amp;D'!O4</f>
        <v>Servicio a los Clientes</v>
      </c>
      <c r="M5" s="129" t="str">
        <f>'Portafolio P&amp;D'!P4</f>
        <v>De cara al ciudadano</v>
      </c>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31"/>
      <c r="BK5" s="128"/>
      <c r="BL5" s="131"/>
      <c r="BM5" s="131"/>
      <c r="BN5" s="131"/>
      <c r="BO5" s="132"/>
    </row>
    <row r="6" spans="2:67" ht="79.5" customHeight="1">
      <c r="B6" s="133">
        <v>1</v>
      </c>
      <c r="C6" s="135" t="str">
        <f>'Portafolio P&amp;D'!B35</f>
        <v>PROPBMBI-EO10-24-36</v>
      </c>
      <c r="D6" s="134" t="str">
        <f>'Portafolio P&amp;D'!C35</f>
        <v>Plataforma Banca Móvil y Banca por Internet</v>
      </c>
      <c r="E6" s="336" t="str">
        <f>'Portafolio P&amp;D'!D35</f>
        <v>El Banco de la Nación requiere urgentemente un proceso de modernización de sus plataformas de canales digitales, principalmente para implementar nuevas funcionalidades, integra más servicios para nuestros clientes, simplificar su presentación y diseño con conceptos de interfaz y experiencia de usuario; y ofrece mayor seguridad a toda la transacción de inicio a fin.
Esta modernización debe considerar la utilización de una nuev plataforma tecnológica que le permita incrementar capacidades d procesamiento y recursos de cómputo de manera ágil y flexible.</v>
      </c>
      <c r="F6" s="134" t="str">
        <f>'Portafolio P&amp;D'!AD35</f>
        <v>02. En Curso</v>
      </c>
      <c r="G6" s="135">
        <f>'Portafolio P&amp;D'!Q35</f>
        <v>2023</v>
      </c>
      <c r="H6" s="135">
        <f>'Portafolio P&amp;D'!R35</f>
        <v>2026</v>
      </c>
      <c r="I6" s="135" t="str">
        <f>'Portafolio P&amp;D'!E35</f>
        <v>Banca Digital</v>
      </c>
      <c r="J6" s="135" t="str">
        <f>'Portafolio P&amp;D'!F35</f>
        <v>Alexis Junchaya</v>
      </c>
      <c r="K6" s="136">
        <f>'Portafolio P&amp;D'!I35</f>
        <v>29429839</v>
      </c>
      <c r="L6" s="135" t="str">
        <f>'Portafolio P&amp;D'!O35</f>
        <v>Servicio a los Clientes</v>
      </c>
      <c r="M6" s="135" t="str">
        <f>'Portafolio P&amp;D'!P35</f>
        <v>De cara al ciudadano</v>
      </c>
      <c r="N6" s="133" t="s">
        <v>36</v>
      </c>
      <c r="O6" s="133" t="s">
        <v>36</v>
      </c>
      <c r="P6" s="133" t="s">
        <v>36</v>
      </c>
      <c r="Q6" s="133" t="s">
        <v>36</v>
      </c>
      <c r="R6" s="133" t="s">
        <v>36</v>
      </c>
      <c r="S6" s="137" t="s">
        <v>36</v>
      </c>
      <c r="T6" s="137" t="s">
        <v>36</v>
      </c>
      <c r="U6" s="137" t="s">
        <v>36</v>
      </c>
      <c r="V6" s="137" t="s">
        <v>36</v>
      </c>
      <c r="W6" s="137">
        <v>0.31</v>
      </c>
      <c r="X6" s="137">
        <v>0.31</v>
      </c>
      <c r="Y6" s="137">
        <v>0.34</v>
      </c>
      <c r="Z6" s="137">
        <v>0.35</v>
      </c>
      <c r="AA6" s="137">
        <v>0.38</v>
      </c>
      <c r="AB6" s="137">
        <v>0.36</v>
      </c>
      <c r="AC6" s="137">
        <v>0.43</v>
      </c>
      <c r="AD6" s="137">
        <v>0.42</v>
      </c>
      <c r="AE6" s="137">
        <v>0.5</v>
      </c>
      <c r="AF6" s="137">
        <v>0.44</v>
      </c>
      <c r="AG6" s="137">
        <v>0.53</v>
      </c>
      <c r="AH6" s="137">
        <v>0.5</v>
      </c>
      <c r="AI6" s="137">
        <v>0.56999999999999995</v>
      </c>
      <c r="AJ6" s="137">
        <v>0.51</v>
      </c>
      <c r="AK6" s="137">
        <v>0.33</v>
      </c>
      <c r="AL6" s="137">
        <v>0.35</v>
      </c>
      <c r="AM6" s="137">
        <v>0.36</v>
      </c>
      <c r="AN6" s="137">
        <v>0.35</v>
      </c>
      <c r="AO6" s="137">
        <v>0.39</v>
      </c>
      <c r="AP6" s="137">
        <v>0.36</v>
      </c>
      <c r="AQ6" s="137">
        <v>0.42</v>
      </c>
      <c r="AR6" s="137">
        <v>0.37</v>
      </c>
      <c r="AS6" s="137">
        <v>0.45</v>
      </c>
      <c r="AT6" s="137">
        <v>0.37</v>
      </c>
      <c r="AU6" s="137">
        <v>0.48</v>
      </c>
      <c r="AV6" s="137">
        <v>0.37</v>
      </c>
      <c r="AW6" s="137">
        <v>0.49</v>
      </c>
      <c r="AX6" s="137">
        <v>0.39</v>
      </c>
      <c r="AY6" s="137">
        <v>0.6</v>
      </c>
      <c r="AZ6" s="137">
        <v>0.39</v>
      </c>
      <c r="BA6" s="137">
        <v>0.61</v>
      </c>
      <c r="BB6" s="137">
        <v>0.38</v>
      </c>
      <c r="BC6" s="137">
        <v>0.66</v>
      </c>
      <c r="BD6" s="137">
        <v>0.44</v>
      </c>
      <c r="BE6" s="137">
        <v>0.74</v>
      </c>
      <c r="BF6" s="137">
        <v>0.41</v>
      </c>
      <c r="BG6" s="137">
        <v>0.76</v>
      </c>
      <c r="BH6" s="137">
        <v>0.75</v>
      </c>
      <c r="BI6" s="137">
        <v>0.76</v>
      </c>
      <c r="BJ6" s="465">
        <v>0.76</v>
      </c>
      <c r="BK6" s="137">
        <v>0.41</v>
      </c>
      <c r="BL6" s="465">
        <v>0.36</v>
      </c>
      <c r="BM6" s="465">
        <v>0.49</v>
      </c>
      <c r="BN6" s="465">
        <v>0.36</v>
      </c>
      <c r="BO6" s="143" t="s">
        <v>922</v>
      </c>
    </row>
    <row r="7" spans="2:67" ht="80.25" customHeight="1">
      <c r="B7" s="128">
        <v>2</v>
      </c>
      <c r="C7" s="128" t="str">
        <f>'Portafolio P&amp;D'!B7</f>
        <v>PROKDD-EO05-23-4</v>
      </c>
      <c r="D7" s="139" t="str">
        <f>'Portafolio P&amp;D'!C7</f>
        <v>Pruebas de Concepto - Quiosko digital dispensador de tarjetas</v>
      </c>
      <c r="E7" s="337" t="str">
        <f>'Portafolio P&amp;D'!D7</f>
        <v>La implementacion de los quioscos digitales brindará terminales de autoservicio para que los clientes puedan interactuar con informacion y contenido digital con el fin de facilitar y acelerar sus solicitudes y requerimientos, los cuales actualmente se hacen de forma presencial.</v>
      </c>
      <c r="F7" s="347" t="str">
        <f>'Portafolio P&amp;D'!AD7</f>
        <v>02. En Curso</v>
      </c>
      <c r="G7" s="129">
        <f>'Portafolio P&amp;D'!Q7</f>
        <v>2023</v>
      </c>
      <c r="H7" s="129">
        <f>'Portafolio P&amp;D'!R7</f>
        <v>2026</v>
      </c>
      <c r="I7" s="129" t="str">
        <f>'Portafolio P&amp;D'!E7</f>
        <v>Banca Digital</v>
      </c>
      <c r="J7" s="129" t="str">
        <f>'Portafolio P&amp;D'!F7</f>
        <v>Marita Carbajo</v>
      </c>
      <c r="K7" s="130" t="str">
        <f>'Portafolio P&amp;D'!I7</f>
        <v>S/ 1.659,450</v>
      </c>
      <c r="L7" s="129" t="str">
        <f>'Portafolio P&amp;D'!O7</f>
        <v>Servicio a los Clientes</v>
      </c>
      <c r="M7" s="129" t="str">
        <f>'Portafolio P&amp;D'!P7</f>
        <v>De cara al ciudadano</v>
      </c>
      <c r="N7" s="128" t="s">
        <v>36</v>
      </c>
      <c r="O7" s="140">
        <v>0.32</v>
      </c>
      <c r="P7" s="140">
        <v>0.22</v>
      </c>
      <c r="Q7" s="140">
        <v>0.38</v>
      </c>
      <c r="R7" s="140">
        <v>0.22</v>
      </c>
      <c r="S7" s="140">
        <v>0.31</v>
      </c>
      <c r="T7" s="140">
        <v>0.08</v>
      </c>
      <c r="U7" s="140">
        <v>0.38</v>
      </c>
      <c r="V7" s="140">
        <v>0.08</v>
      </c>
      <c r="W7" s="140">
        <v>0.3</v>
      </c>
      <c r="X7" s="140">
        <v>0.3</v>
      </c>
      <c r="Y7" s="140">
        <v>0.35</v>
      </c>
      <c r="Z7" s="140">
        <v>0.32</v>
      </c>
      <c r="AA7" s="140">
        <v>0.47</v>
      </c>
      <c r="AB7" s="140">
        <v>0.32</v>
      </c>
      <c r="AC7" s="140">
        <v>0.49</v>
      </c>
      <c r="AD7" s="140">
        <v>0.34</v>
      </c>
      <c r="AE7" s="140">
        <v>0.55000000000000004</v>
      </c>
      <c r="AF7" s="140">
        <v>0.48</v>
      </c>
      <c r="AG7" s="140">
        <v>0.61</v>
      </c>
      <c r="AH7" s="140">
        <v>0.51</v>
      </c>
      <c r="AI7" s="140">
        <v>0.63</v>
      </c>
      <c r="AJ7" s="140">
        <v>0.55000000000000004</v>
      </c>
      <c r="AK7" s="140">
        <v>0.34</v>
      </c>
      <c r="AL7" s="140">
        <v>0.34</v>
      </c>
      <c r="AM7" s="140">
        <v>0.36</v>
      </c>
      <c r="AN7" s="140">
        <v>0.35</v>
      </c>
      <c r="AO7" s="140">
        <v>0.37</v>
      </c>
      <c r="AP7" s="140">
        <v>0.36</v>
      </c>
      <c r="AQ7" s="140">
        <v>0.39</v>
      </c>
      <c r="AR7" s="140">
        <v>0.38</v>
      </c>
      <c r="AS7" s="140">
        <v>0.4</v>
      </c>
      <c r="AT7" s="140">
        <v>0.42</v>
      </c>
      <c r="AU7" s="140">
        <v>0.41</v>
      </c>
      <c r="AV7" s="140">
        <v>0.43</v>
      </c>
      <c r="AW7" s="140">
        <v>0.43</v>
      </c>
      <c r="AX7" s="140">
        <v>0.43</v>
      </c>
      <c r="AY7" s="140">
        <v>0.52</v>
      </c>
      <c r="AZ7" s="140">
        <v>0.46</v>
      </c>
      <c r="BA7" s="140">
        <v>0.66</v>
      </c>
      <c r="BB7" s="140">
        <v>0.46</v>
      </c>
      <c r="BC7" s="140">
        <v>0.66</v>
      </c>
      <c r="BD7" s="140">
        <v>0.5</v>
      </c>
      <c r="BE7" s="140">
        <v>0.85</v>
      </c>
      <c r="BF7" s="140">
        <v>0.51</v>
      </c>
      <c r="BG7" s="140">
        <v>0.89</v>
      </c>
      <c r="BH7" s="140">
        <v>0.85</v>
      </c>
      <c r="BI7" s="140">
        <v>0.94</v>
      </c>
      <c r="BJ7" s="464">
        <v>0.86</v>
      </c>
      <c r="BK7" s="140">
        <v>0.99</v>
      </c>
      <c r="BL7" s="464">
        <v>0.74</v>
      </c>
      <c r="BM7" s="464">
        <v>0.86</v>
      </c>
      <c r="BN7" s="464">
        <v>0.84</v>
      </c>
      <c r="BO7" s="143" t="s">
        <v>923</v>
      </c>
    </row>
    <row r="8" spans="2:67" ht="33" customHeight="1">
      <c r="B8" s="133"/>
      <c r="C8" s="135" t="str">
        <f>'Portafolio P&amp;D'!B5</f>
        <v>Iniciativa</v>
      </c>
      <c r="D8" s="134" t="str">
        <f>'Portafolio P&amp;D'!C5</f>
        <v>Nuevo Home Banking "Multired Virtual"</v>
      </c>
      <c r="E8" s="336" t="str">
        <f>'Portafolio P&amp;D'!D5</f>
        <v>Rediseño e implementación de una Nueva Plataforma con funcionalidades adicionales (Pagos e integrar más servicios varios a pagar), ampliar el uso del dinero por canales digitales. A fin de brindar a los usuarios peruanos una aplicación y plataforma virtual que les permita migrar sus Operaciones presenciales hacia entornos digitales.</v>
      </c>
      <c r="F8" s="339" t="str">
        <f>'Portafolio P&amp;D'!AD5</f>
        <v>04. Cerrado</v>
      </c>
      <c r="G8" s="135">
        <f>'Portafolio P&amp;D'!Q5</f>
        <v>2023</v>
      </c>
      <c r="H8" s="135">
        <f>'Portafolio P&amp;D'!R5</f>
        <v>2025</v>
      </c>
      <c r="I8" s="135" t="str">
        <f>'Portafolio P&amp;D'!E5</f>
        <v>Banca Digital</v>
      </c>
      <c r="J8" s="135" t="str">
        <f>'Portafolio P&amp;D'!F5</f>
        <v>Lenin Valencia</v>
      </c>
      <c r="K8" s="136">
        <f>'Portafolio P&amp;D'!I5</f>
        <v>2500000</v>
      </c>
      <c r="L8" s="135" t="str">
        <f>'Portafolio P&amp;D'!O5</f>
        <v>Servicio a los Clientes</v>
      </c>
      <c r="M8" s="135" t="str">
        <f>'Portafolio P&amp;D'!P5</f>
        <v>De cara al ciudadano</v>
      </c>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41"/>
      <c r="BK8" s="133"/>
      <c r="BL8" s="141"/>
      <c r="BM8" s="141"/>
      <c r="BN8" s="141"/>
      <c r="BO8" s="341"/>
    </row>
    <row r="9" spans="2:67" ht="37.5" customHeight="1">
      <c r="B9" s="128"/>
      <c r="C9" s="129" t="str">
        <f>'Portafolio P&amp;D'!B6</f>
        <v>Iniciativa</v>
      </c>
      <c r="D9" s="347" t="str">
        <f>'Portafolio P&amp;D'!C6</f>
        <v>Nuevo Agente Corresponsal / Pago de Tasas</v>
      </c>
      <c r="E9" s="338" t="str">
        <f>'Portafolio P&amp;D'!D6</f>
        <v>Implementación de una nueva plataforma móvil para la administración y gestión de la Red de Agentes Corresponsales. Permite realizar Operaciones como depósitos, retiros y pagos de tasas a través de dispositivos móviles, brindando mayor independencia y control al Banco en la atención y configuración de los agentes. Mejora la eficiencia y calidad del servicio, ofreciendo una experiencia más conveniente para los clientes.</v>
      </c>
      <c r="F9" s="339" t="str">
        <f>'Portafolio P&amp;D'!AD6</f>
        <v>04. Cerrado</v>
      </c>
      <c r="G9" s="129">
        <f>'Portafolio P&amp;D'!Q6</f>
        <v>2023</v>
      </c>
      <c r="H9" s="129">
        <f>'Portafolio P&amp;D'!R6</f>
        <v>2025</v>
      </c>
      <c r="I9" s="129" t="str">
        <f>'Portafolio P&amp;D'!E6</f>
        <v>Banca Digital</v>
      </c>
      <c r="J9" s="129" t="str">
        <f>'Portafolio P&amp;D'!F6</f>
        <v>Lenin Valencia</v>
      </c>
      <c r="K9" s="130">
        <f>'Portafolio P&amp;D'!I6</f>
        <v>550000</v>
      </c>
      <c r="L9" s="129" t="str">
        <f>'Portafolio P&amp;D'!O6</f>
        <v>Servicio a los Clientes</v>
      </c>
      <c r="M9" s="129" t="str">
        <f>'Portafolio P&amp;D'!P6</f>
        <v>De cara al ciudadano</v>
      </c>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31"/>
      <c r="BK9" s="128"/>
      <c r="BL9" s="131"/>
      <c r="BM9" s="131"/>
      <c r="BN9" s="131"/>
      <c r="BO9" s="132"/>
    </row>
    <row r="10" spans="2:67" ht="202.5">
      <c r="B10" s="133">
        <v>3</v>
      </c>
      <c r="C10" s="135" t="str">
        <f>'Portafolio P&amp;D'!B9</f>
        <v>PRODNI-EO12-23-8</v>
      </c>
      <c r="D10" s="134" t="str">
        <f>'Portafolio P&amp;D'!C9</f>
        <v>Proyecto Cuenta DNI – Nuevas Funcionalidades</v>
      </c>
      <c r="E10" s="336" t="str">
        <f>'Portafolio P&amp;D'!D9</f>
        <v>La cuenta DNI es una cuenta básica de ahorros de naturaleza digital y en moneda nacional</v>
      </c>
      <c r="F10" s="134" t="str">
        <f>'Portafolio P&amp;D'!AD9</f>
        <v>02. En Curso</v>
      </c>
      <c r="G10" s="135">
        <f>'Portafolio P&amp;D'!Q9</f>
        <v>2023</v>
      </c>
      <c r="H10" s="135">
        <f>'Portafolio P&amp;D'!R9</f>
        <v>2025</v>
      </c>
      <c r="I10" s="135" t="str">
        <f>'Portafolio P&amp;D'!E9</f>
        <v>Banca Digital</v>
      </c>
      <c r="J10" s="135" t="str">
        <f>'Portafolio P&amp;D'!F9</f>
        <v>Luis Palacios</v>
      </c>
      <c r="K10" s="136">
        <f>'Portafolio P&amp;D'!I9</f>
        <v>31894424.219999999</v>
      </c>
      <c r="L10" s="135" t="str">
        <f>'Portafolio P&amp;D'!O9</f>
        <v>Servicio a los Clientes</v>
      </c>
      <c r="M10" s="135" t="str">
        <f>'Portafolio P&amp;D'!P9</f>
        <v>De cara al ciudadano</v>
      </c>
      <c r="N10" s="133" t="s">
        <v>36</v>
      </c>
      <c r="O10" s="137">
        <v>0.59</v>
      </c>
      <c r="P10" s="137">
        <v>0.47</v>
      </c>
      <c r="Q10" s="137">
        <v>0.61</v>
      </c>
      <c r="R10" s="137">
        <v>0.48</v>
      </c>
      <c r="S10" s="137">
        <v>0.45</v>
      </c>
      <c r="T10" s="137">
        <v>0.23</v>
      </c>
      <c r="U10" s="137">
        <v>0.45</v>
      </c>
      <c r="V10" s="137">
        <v>0.23</v>
      </c>
      <c r="W10" s="137">
        <v>0.44</v>
      </c>
      <c r="X10" s="137">
        <v>0.38</v>
      </c>
      <c r="Y10" s="137">
        <v>0.48</v>
      </c>
      <c r="Z10" s="137">
        <v>0.39</v>
      </c>
      <c r="AA10" s="137">
        <v>0.55000000000000004</v>
      </c>
      <c r="AB10" s="137">
        <v>0.41</v>
      </c>
      <c r="AC10" s="137">
        <v>0.6</v>
      </c>
      <c r="AD10" s="137">
        <v>0.41</v>
      </c>
      <c r="AE10" s="137">
        <v>0.65</v>
      </c>
      <c r="AF10" s="137">
        <v>0.42</v>
      </c>
      <c r="AG10" s="137">
        <v>0.7</v>
      </c>
      <c r="AH10" s="137">
        <v>0.44</v>
      </c>
      <c r="AI10" s="137">
        <v>0.74</v>
      </c>
      <c r="AJ10" s="137">
        <v>0.46</v>
      </c>
      <c r="AK10" s="137">
        <v>0.63</v>
      </c>
      <c r="AL10" s="137">
        <v>0.57999999999999996</v>
      </c>
      <c r="AM10" s="137">
        <v>0.52</v>
      </c>
      <c r="AN10" s="137">
        <v>0.67</v>
      </c>
      <c r="AO10" s="137">
        <v>0.72</v>
      </c>
      <c r="AP10" s="137">
        <v>0.69</v>
      </c>
      <c r="AQ10" s="137">
        <v>0.9</v>
      </c>
      <c r="AR10" s="137">
        <v>0.7</v>
      </c>
      <c r="AS10" s="137">
        <v>1</v>
      </c>
      <c r="AT10" s="137">
        <v>0.77</v>
      </c>
      <c r="AU10" s="137">
        <v>1</v>
      </c>
      <c r="AV10" s="137">
        <v>0.81</v>
      </c>
      <c r="AW10" s="137">
        <v>1</v>
      </c>
      <c r="AX10" s="137">
        <v>0.82</v>
      </c>
      <c r="AY10" s="137">
        <v>1</v>
      </c>
      <c r="AZ10" s="137">
        <v>0.76</v>
      </c>
      <c r="BA10" s="137">
        <v>1</v>
      </c>
      <c r="BB10" s="137">
        <v>0.76</v>
      </c>
      <c r="BC10" s="137">
        <v>1</v>
      </c>
      <c r="BD10" s="137">
        <v>0.76</v>
      </c>
      <c r="BE10" s="137">
        <v>1</v>
      </c>
      <c r="BF10" s="137">
        <v>0.76</v>
      </c>
      <c r="BG10" s="137">
        <v>0.62</v>
      </c>
      <c r="BH10" s="137">
        <v>0.65</v>
      </c>
      <c r="BI10" s="137">
        <v>0.64</v>
      </c>
      <c r="BJ10" s="465">
        <v>0.59</v>
      </c>
      <c r="BK10" s="137">
        <v>0.96</v>
      </c>
      <c r="BL10" s="465">
        <v>0.72</v>
      </c>
      <c r="BM10" s="465">
        <v>0.71</v>
      </c>
      <c r="BN10" s="465">
        <v>0.71</v>
      </c>
      <c r="BO10" s="138" t="s">
        <v>924</v>
      </c>
    </row>
    <row r="11" spans="2:67" ht="120.75" customHeight="1">
      <c r="B11" s="128">
        <v>4</v>
      </c>
      <c r="C11" s="128" t="str">
        <f>'Portafolio P&amp;D'!B29</f>
        <v>ID N°</v>
      </c>
      <c r="D11" s="347" t="str">
        <f>'Portafolio P&amp;D'!C29</f>
        <v>Diagnostico de Madurez de Gestion de Proyectos y Plan de Trabajo de Implementacion de PMO</v>
      </c>
      <c r="E11" s="337" t="str">
        <f>'Portafolio P&amp;D'!D29</f>
        <v>Establecer una estructura y procesos para promover una cultura de proyectos y elevar el nivel de madurez del Banco en la gestión de proyectos. Se desarrollarán mecanismos de seguimiento, control y comunicación con los interesados, se mejorarán las metodologías y herramientas de gestión de proyectos, y se gestionarán las metodologías, estándares, riesgos, oportunidades, métricas e interdependencias entre proyectos. Además, se brindará capacitación a los equipos de gestión de cartera y proyectos para fortalecer sus habilidades y conocimientos.</v>
      </c>
      <c r="F11" s="142" t="str">
        <f>'Portafolio P&amp;D'!AD29</f>
        <v>03. Implementado</v>
      </c>
      <c r="G11" s="129">
        <f>'Portafolio P&amp;D'!Q29</f>
        <v>2023</v>
      </c>
      <c r="H11" s="129">
        <f>'Portafolio P&amp;D'!R29</f>
        <v>2023</v>
      </c>
      <c r="I11" s="129" t="str">
        <f>'Portafolio P&amp;D'!E29</f>
        <v>Planeamiento y Control de Gestión</v>
      </c>
      <c r="J11" s="129">
        <f>'Portafolio P&amp;D'!F29</f>
        <v>0</v>
      </c>
      <c r="K11" s="130">
        <f>'Portafolio P&amp;D'!I29</f>
        <v>100000</v>
      </c>
      <c r="L11" s="129" t="str">
        <f>'Portafolio P&amp;D'!O29</f>
        <v>Personas y Cultura Organizacional</v>
      </c>
      <c r="M11" s="129" t="str">
        <f>'Portafolio P&amp;D'!P29</f>
        <v>Gestión Interna</v>
      </c>
      <c r="N11" s="140">
        <v>1</v>
      </c>
      <c r="O11" s="128" t="s">
        <v>36</v>
      </c>
      <c r="P11" s="128" t="s">
        <v>36</v>
      </c>
      <c r="Q11" s="128" t="s">
        <v>36</v>
      </c>
      <c r="R11" s="128" t="s">
        <v>36</v>
      </c>
      <c r="S11" s="128" t="s">
        <v>36</v>
      </c>
      <c r="T11" s="128" t="s">
        <v>36</v>
      </c>
      <c r="U11" s="128" t="s">
        <v>36</v>
      </c>
      <c r="V11" s="128" t="s">
        <v>36</v>
      </c>
      <c r="W11" s="128" t="s">
        <v>36</v>
      </c>
      <c r="X11" s="128" t="s">
        <v>36</v>
      </c>
      <c r="Y11" s="128" t="s">
        <v>36</v>
      </c>
      <c r="Z11" s="128" t="s">
        <v>36</v>
      </c>
      <c r="AA11" s="128" t="s">
        <v>36</v>
      </c>
      <c r="AB11" s="128" t="s">
        <v>36</v>
      </c>
      <c r="AC11" s="128" t="s">
        <v>36</v>
      </c>
      <c r="AD11" s="128" t="s">
        <v>36</v>
      </c>
      <c r="AE11" s="128" t="s">
        <v>36</v>
      </c>
      <c r="AF11" s="128" t="s">
        <v>36</v>
      </c>
      <c r="AG11" s="128" t="s">
        <v>36</v>
      </c>
      <c r="AH11" s="128" t="s">
        <v>36</v>
      </c>
      <c r="AI11" s="128" t="s">
        <v>36</v>
      </c>
      <c r="AJ11" s="128" t="s">
        <v>36</v>
      </c>
      <c r="AK11" s="128" t="s">
        <v>36</v>
      </c>
      <c r="AL11" s="128" t="s">
        <v>36</v>
      </c>
      <c r="AM11" s="128" t="s">
        <v>36</v>
      </c>
      <c r="AN11" s="128" t="s">
        <v>36</v>
      </c>
      <c r="AO11" s="140">
        <v>1</v>
      </c>
      <c r="AP11" s="140">
        <v>1</v>
      </c>
      <c r="AQ11" s="140">
        <v>1</v>
      </c>
      <c r="AR11" s="140">
        <v>1</v>
      </c>
      <c r="AS11" s="140">
        <v>1</v>
      </c>
      <c r="AT11" s="140">
        <v>1</v>
      </c>
      <c r="AU11" s="140">
        <v>1</v>
      </c>
      <c r="AV11" s="140">
        <v>1</v>
      </c>
      <c r="AW11" s="140">
        <v>1</v>
      </c>
      <c r="AX11" s="140">
        <v>1</v>
      </c>
      <c r="AY11" s="140">
        <v>1</v>
      </c>
      <c r="AZ11" s="140">
        <v>1</v>
      </c>
      <c r="BA11" s="140">
        <v>1</v>
      </c>
      <c r="BB11" s="140">
        <v>1</v>
      </c>
      <c r="BC11" s="140">
        <v>1</v>
      </c>
      <c r="BD11" s="140">
        <v>1</v>
      </c>
      <c r="BE11" s="140">
        <v>1</v>
      </c>
      <c r="BF11" s="140">
        <v>1</v>
      </c>
      <c r="BG11" s="140">
        <v>1</v>
      </c>
      <c r="BH11" s="140">
        <v>1</v>
      </c>
      <c r="BI11" s="140">
        <v>1</v>
      </c>
      <c r="BJ11" s="464">
        <v>1</v>
      </c>
      <c r="BK11" s="140">
        <v>1</v>
      </c>
      <c r="BL11" s="464">
        <v>1</v>
      </c>
      <c r="BM11" s="140">
        <v>1</v>
      </c>
      <c r="BN11" s="464">
        <v>1</v>
      </c>
      <c r="BO11" s="469" t="s">
        <v>925</v>
      </c>
    </row>
    <row r="12" spans="2:67" ht="78.75" customHeight="1">
      <c r="B12" s="133">
        <v>5</v>
      </c>
      <c r="C12" s="133" t="str">
        <f>'Portafolio P&amp;D'!B20</f>
        <v>PRODEO-EO08-23-10</v>
      </c>
      <c r="D12" s="134" t="str">
        <f>'Portafolio P&amp;D'!C20</f>
        <v>Análisis y validación del Mapa de Procesos, Diagnóstico de Estructura Organizacional y Estudio de Carga Laboral del BN</v>
      </c>
      <c r="E12" s="336" t="str">
        <f>'Portafolio P&amp;D'!D20</f>
        <v>El proyecto se ha constituido con el fin de lograr un modelo organizacional con un enfoque de procesos; el cual se desarrollará en dos etapas secuenciales, la primera consta del análisis y validación del Mapa de Procesos, Diagnóstico de Estructura Organizacional y Estudio de Carga Laboral del Banco a cargo de una empresa especializada y la segunda estará a cargo de la Subgerencia Desarrollo Organizacional quien evaluará las recomendaciones, elaborará la propuesta final y gestionará la aprobación de los documentos de gestión como son el Reglamento de Organización de Funciones (ROF), el Cuadro de Asignación de Personal (CAP) y el Manual de Organización de Funciones MOF .</v>
      </c>
      <c r="F12" s="142" t="str">
        <f>'Portafolio P&amp;D'!AD20</f>
        <v>03. Implementado</v>
      </c>
      <c r="G12" s="135">
        <f>'Portafolio P&amp;D'!Q20</f>
        <v>2023</v>
      </c>
      <c r="H12" s="135">
        <f>'Portafolio P&amp;D'!R20</f>
        <v>2025</v>
      </c>
      <c r="I12" s="135" t="str">
        <f>'Portafolio P&amp;D'!E20</f>
        <v>Planeamiento y Control de Gestión</v>
      </c>
      <c r="J12" s="135" t="str">
        <f>'Portafolio P&amp;D'!F20</f>
        <v>Luis Avilez</v>
      </c>
      <c r="K12" s="136">
        <f>'Portafolio P&amp;D'!I20</f>
        <v>493750</v>
      </c>
      <c r="L12" s="135" t="str">
        <f>'Portafolio P&amp;D'!O20</f>
        <v>Estrategia y Gobernanza</v>
      </c>
      <c r="M12" s="135" t="str">
        <f>'Portafolio P&amp;D'!P20</f>
        <v>Gestión Interna</v>
      </c>
      <c r="N12" s="133" t="s">
        <v>36</v>
      </c>
      <c r="O12" s="137">
        <v>0.53</v>
      </c>
      <c r="P12" s="137">
        <v>0.53</v>
      </c>
      <c r="Q12" s="137">
        <v>0.54</v>
      </c>
      <c r="R12" s="137">
        <v>0.53</v>
      </c>
      <c r="S12" s="137">
        <v>0.67</v>
      </c>
      <c r="T12" s="137">
        <v>0.43</v>
      </c>
      <c r="U12" s="137">
        <v>0.72</v>
      </c>
      <c r="V12" s="137">
        <v>0.54</v>
      </c>
      <c r="W12" s="137">
        <v>0.8</v>
      </c>
      <c r="X12" s="137">
        <v>0.72</v>
      </c>
      <c r="Y12" s="137">
        <v>0.6</v>
      </c>
      <c r="Z12" s="137">
        <v>0.6</v>
      </c>
      <c r="AA12" s="137">
        <v>0.7</v>
      </c>
      <c r="AB12" s="137">
        <v>0.68</v>
      </c>
      <c r="AC12" s="137">
        <v>0.77</v>
      </c>
      <c r="AD12" s="137">
        <v>0.74</v>
      </c>
      <c r="AE12" s="137">
        <v>0.86</v>
      </c>
      <c r="AF12" s="137">
        <v>0.83</v>
      </c>
      <c r="AG12" s="137">
        <v>0.94</v>
      </c>
      <c r="AH12" s="137">
        <v>0.87</v>
      </c>
      <c r="AI12" s="137">
        <v>0.99</v>
      </c>
      <c r="AJ12" s="137">
        <v>0.96</v>
      </c>
      <c r="AK12" s="137">
        <v>1</v>
      </c>
      <c r="AL12" s="137">
        <v>0.98</v>
      </c>
      <c r="AM12" s="137">
        <v>1</v>
      </c>
      <c r="AN12" s="137">
        <v>0.98</v>
      </c>
      <c r="AO12" s="137">
        <v>1</v>
      </c>
      <c r="AP12" s="137">
        <v>0.98</v>
      </c>
      <c r="AQ12" s="137">
        <v>1</v>
      </c>
      <c r="AR12" s="137">
        <v>0.98</v>
      </c>
      <c r="AS12" s="137">
        <v>1</v>
      </c>
      <c r="AT12" s="137">
        <v>1</v>
      </c>
      <c r="AU12" s="137">
        <v>1</v>
      </c>
      <c r="AV12" s="137">
        <v>1</v>
      </c>
      <c r="AW12" s="137">
        <v>1</v>
      </c>
      <c r="AX12" s="137">
        <v>1</v>
      </c>
      <c r="AY12" s="137">
        <v>1</v>
      </c>
      <c r="AZ12" s="137">
        <v>1</v>
      </c>
      <c r="BA12" s="137">
        <v>1</v>
      </c>
      <c r="BB12" s="137">
        <v>1</v>
      </c>
      <c r="BC12" s="137">
        <v>1</v>
      </c>
      <c r="BD12" s="137">
        <v>1</v>
      </c>
      <c r="BE12" s="137">
        <v>1</v>
      </c>
      <c r="BF12" s="137">
        <v>1</v>
      </c>
      <c r="BG12" s="137">
        <v>1</v>
      </c>
      <c r="BH12" s="137">
        <v>1</v>
      </c>
      <c r="BI12" s="137">
        <v>1</v>
      </c>
      <c r="BJ12" s="465">
        <v>1</v>
      </c>
      <c r="BK12" s="137">
        <v>1</v>
      </c>
      <c r="BL12" s="465">
        <v>1</v>
      </c>
      <c r="BM12" s="137">
        <v>1</v>
      </c>
      <c r="BN12" s="465">
        <v>1</v>
      </c>
      <c r="BO12" s="469" t="s">
        <v>926</v>
      </c>
    </row>
    <row r="13" spans="2:67" ht="80.25" customHeight="1">
      <c r="B13" s="128">
        <v>6</v>
      </c>
      <c r="C13" s="128" t="str">
        <f>'Portafolio P&amp;D'!B16</f>
        <v>ID N°</v>
      </c>
      <c r="D13" s="347" t="str">
        <f>'Portafolio P&amp;D'!C16</f>
        <v>Implementación del servicio de Inmediatas e Interoperabilidad (Transferencias Inmediatas e Interoperabilidad)</v>
      </c>
      <c r="E13" s="337" t="str">
        <f>'Portafolio P&amp;D'!D16</f>
        <v>Asegurar el restablecimiento del servicio de Transferencias Interbancarias Inmediatas a través del sistema de la Cámara de Compensación Electrónica (CCE). Además, se busca habilitar las funcionalidades de Interoperabilidad necesarias según las exigencias del Banco Central de Reserva del Perú (BCRP).</v>
      </c>
      <c r="F13" s="142" t="str">
        <f>'Portafolio P&amp;D'!AD16</f>
        <v>03. Implementado</v>
      </c>
      <c r="G13" s="129">
        <f>'Portafolio P&amp;D'!Q16</f>
        <v>2022</v>
      </c>
      <c r="H13" s="129">
        <f>'Portafolio P&amp;D'!R16</f>
        <v>2024</v>
      </c>
      <c r="I13" s="129" t="str">
        <f>'Portafolio P&amp;D'!E16</f>
        <v>Operaciones</v>
      </c>
      <c r="J13" s="129" t="str">
        <f>'Portafolio P&amp;D'!F16</f>
        <v>Jorge Lavalle</v>
      </c>
      <c r="K13" s="130">
        <f>'Portafolio P&amp;D'!I16</f>
        <v>384787</v>
      </c>
      <c r="L13" s="129" t="str">
        <f>'Portafolio P&amp;D'!O16</f>
        <v>Servicio a los Clientes</v>
      </c>
      <c r="M13" s="129" t="str">
        <f>'Portafolio P&amp;D'!P16</f>
        <v>De cara al ciudadano</v>
      </c>
      <c r="N13" s="128" t="s">
        <v>36</v>
      </c>
      <c r="O13" s="140">
        <v>1</v>
      </c>
      <c r="P13" s="140">
        <v>0.99</v>
      </c>
      <c r="Q13" s="140">
        <v>1</v>
      </c>
      <c r="R13" s="140">
        <v>0.99</v>
      </c>
      <c r="S13" s="140">
        <v>1</v>
      </c>
      <c r="T13" s="140">
        <v>1</v>
      </c>
      <c r="U13" s="140">
        <v>1</v>
      </c>
      <c r="V13" s="140">
        <v>1</v>
      </c>
      <c r="W13" s="140">
        <v>1</v>
      </c>
      <c r="X13" s="140">
        <v>1</v>
      </c>
      <c r="Y13" s="140">
        <v>1</v>
      </c>
      <c r="Z13" s="140">
        <v>1</v>
      </c>
      <c r="AA13" s="140">
        <v>1</v>
      </c>
      <c r="AB13" s="140">
        <v>1</v>
      </c>
      <c r="AC13" s="140">
        <v>1</v>
      </c>
      <c r="AD13" s="140">
        <v>1</v>
      </c>
      <c r="AE13" s="140">
        <v>1</v>
      </c>
      <c r="AF13" s="140">
        <v>1</v>
      </c>
      <c r="AG13" s="140">
        <v>1</v>
      </c>
      <c r="AH13" s="140">
        <v>1</v>
      </c>
      <c r="AI13" s="140">
        <v>1</v>
      </c>
      <c r="AJ13" s="140">
        <v>1</v>
      </c>
      <c r="AK13" s="140">
        <v>1</v>
      </c>
      <c r="AL13" s="140">
        <v>1</v>
      </c>
      <c r="AM13" s="140">
        <v>1</v>
      </c>
      <c r="AN13" s="140">
        <v>1</v>
      </c>
      <c r="AO13" s="140">
        <v>1</v>
      </c>
      <c r="AP13" s="140">
        <v>1</v>
      </c>
      <c r="AQ13" s="140">
        <v>1</v>
      </c>
      <c r="AR13" s="140">
        <v>1</v>
      </c>
      <c r="AS13" s="140">
        <v>1</v>
      </c>
      <c r="AT13" s="140">
        <v>1</v>
      </c>
      <c r="AU13" s="140">
        <v>1</v>
      </c>
      <c r="AV13" s="140">
        <v>1</v>
      </c>
      <c r="AW13" s="140">
        <v>1</v>
      </c>
      <c r="AX13" s="140">
        <v>1</v>
      </c>
      <c r="AY13" s="140">
        <v>1</v>
      </c>
      <c r="AZ13" s="140">
        <v>1</v>
      </c>
      <c r="BA13" s="140">
        <v>1</v>
      </c>
      <c r="BB13" s="140">
        <v>1</v>
      </c>
      <c r="BC13" s="140">
        <v>1</v>
      </c>
      <c r="BD13" s="140">
        <v>1</v>
      </c>
      <c r="BE13" s="140">
        <v>1</v>
      </c>
      <c r="BF13" s="140">
        <v>1</v>
      </c>
      <c r="BG13" s="140">
        <v>1</v>
      </c>
      <c r="BH13" s="140">
        <v>1</v>
      </c>
      <c r="BI13" s="140">
        <v>1</v>
      </c>
      <c r="BJ13" s="464">
        <v>1</v>
      </c>
      <c r="BK13" s="140">
        <v>1</v>
      </c>
      <c r="BL13" s="464">
        <v>1</v>
      </c>
      <c r="BM13" s="140">
        <v>1</v>
      </c>
      <c r="BN13" s="464">
        <v>1</v>
      </c>
      <c r="BO13" s="469" t="s">
        <v>927</v>
      </c>
    </row>
    <row r="14" spans="2:67" ht="55.5" customHeight="1">
      <c r="B14" s="133">
        <v>7</v>
      </c>
      <c r="C14" s="133" t="str">
        <f>'Portafolio P&amp;D'!B14</f>
        <v>ID N°</v>
      </c>
      <c r="D14" s="134" t="str">
        <f>'Portafolio P&amp;D'!C14</f>
        <v>Multired Empresarial - Fase III</v>
      </c>
      <c r="E14" s="336" t="str">
        <f>'Portafolio P&amp;D'!D14</f>
        <v>Modernizar y agilizar el proceso de pagos del Estado, permitiendo realizar transacciones y gestiones de manera electrónica, eliminando la necesidad de trámites presenciales.</v>
      </c>
      <c r="F14" s="142" t="str">
        <f>'Portafolio P&amp;D'!AD14</f>
        <v>03. Implementado</v>
      </c>
      <c r="G14" s="135">
        <f>'Portafolio P&amp;D'!Q14</f>
        <v>2023</v>
      </c>
      <c r="H14" s="135">
        <f>'Portafolio P&amp;D'!R14</f>
        <v>2024</v>
      </c>
      <c r="I14" s="135" t="str">
        <f>'Portafolio P&amp;D'!E14</f>
        <v>Operaciones</v>
      </c>
      <c r="J14" s="135" t="str">
        <f>'Portafolio P&amp;D'!F14</f>
        <v>Jorge Lavalle</v>
      </c>
      <c r="K14" s="136">
        <f>'Portafolio P&amp;D'!I14</f>
        <v>0</v>
      </c>
      <c r="L14" s="135" t="str">
        <f>'Portafolio P&amp;D'!O14</f>
        <v>Procesos Digitales</v>
      </c>
      <c r="M14" s="135" t="str">
        <f>'Portafolio P&amp;D'!P14</f>
        <v>De cara al ciudadano</v>
      </c>
      <c r="N14" s="133" t="s">
        <v>36</v>
      </c>
      <c r="O14" s="144">
        <v>0.64</v>
      </c>
      <c r="P14" s="144">
        <v>0.59</v>
      </c>
      <c r="Q14" s="144">
        <v>0.79</v>
      </c>
      <c r="R14" s="144">
        <v>0.79</v>
      </c>
      <c r="S14" s="144">
        <v>0.7</v>
      </c>
      <c r="T14" s="144">
        <v>0.55000000000000004</v>
      </c>
      <c r="U14" s="144">
        <v>1</v>
      </c>
      <c r="V14" s="144">
        <v>0.56000000000000005</v>
      </c>
      <c r="W14" s="144">
        <v>1</v>
      </c>
      <c r="X14" s="144">
        <v>0.62</v>
      </c>
      <c r="Y14" s="144">
        <v>0.65</v>
      </c>
      <c r="Z14" s="144">
        <v>0.65</v>
      </c>
      <c r="AA14" s="144">
        <v>0.75</v>
      </c>
      <c r="AB14" s="144">
        <v>0.67</v>
      </c>
      <c r="AC14" s="144">
        <v>1</v>
      </c>
      <c r="AD14" s="144">
        <v>1</v>
      </c>
      <c r="AE14" s="144">
        <v>1</v>
      </c>
      <c r="AF14" s="144">
        <v>1</v>
      </c>
      <c r="AG14" s="144">
        <v>1</v>
      </c>
      <c r="AH14" s="144">
        <v>1</v>
      </c>
      <c r="AI14" s="144">
        <v>1</v>
      </c>
      <c r="AJ14" s="144">
        <v>1</v>
      </c>
      <c r="AK14" s="144">
        <v>1</v>
      </c>
      <c r="AL14" s="144">
        <v>1</v>
      </c>
      <c r="AM14" s="144">
        <v>1</v>
      </c>
      <c r="AN14" s="144">
        <v>1</v>
      </c>
      <c r="AO14" s="144">
        <v>1</v>
      </c>
      <c r="AP14" s="144">
        <v>1</v>
      </c>
      <c r="AQ14" s="145">
        <v>1</v>
      </c>
      <c r="AR14" s="145">
        <v>1</v>
      </c>
      <c r="AS14" s="145">
        <v>1</v>
      </c>
      <c r="AT14" s="145">
        <v>1</v>
      </c>
      <c r="AU14" s="145">
        <v>1</v>
      </c>
      <c r="AV14" s="145">
        <v>1</v>
      </c>
      <c r="AW14" s="145">
        <v>1</v>
      </c>
      <c r="AX14" s="145">
        <v>1</v>
      </c>
      <c r="AY14" s="145">
        <v>1</v>
      </c>
      <c r="AZ14" s="145">
        <v>1</v>
      </c>
      <c r="BA14" s="145">
        <v>1</v>
      </c>
      <c r="BB14" s="145">
        <v>1</v>
      </c>
      <c r="BC14" s="145">
        <v>1</v>
      </c>
      <c r="BD14" s="145">
        <v>1</v>
      </c>
      <c r="BE14" s="145">
        <v>1</v>
      </c>
      <c r="BF14" s="145">
        <v>1</v>
      </c>
      <c r="BG14" s="145">
        <v>1</v>
      </c>
      <c r="BH14" s="145">
        <v>1</v>
      </c>
      <c r="BI14" s="145">
        <v>1</v>
      </c>
      <c r="BJ14" s="466">
        <v>1</v>
      </c>
      <c r="BK14" s="145">
        <v>1</v>
      </c>
      <c r="BL14" s="466">
        <v>1</v>
      </c>
      <c r="BM14" s="145">
        <v>1</v>
      </c>
      <c r="BN14" s="466">
        <v>1</v>
      </c>
      <c r="BO14" s="469" t="s">
        <v>928</v>
      </c>
    </row>
    <row r="15" spans="2:67" ht="66" customHeight="1">
      <c r="B15" s="128">
        <v>8</v>
      </c>
      <c r="C15" s="128" t="str">
        <f>'Portafolio P&amp;D'!B17</f>
        <v>PRORPA-EO08-23-27</v>
      </c>
      <c r="D15" s="139" t="str">
        <f>'Portafolio P&amp;D'!C17</f>
        <v>Implementación del Proyecto de Robotización (Automatización de Procesos - RPA)</v>
      </c>
      <c r="E15" s="337" t="str">
        <f>'Portafolio P&amp;D'!D17</f>
        <v>El uso de estas herramientas tecnológicas permitirá digitalizar servicios de cara a los principales grupos de interés, en ese sentido con la finalidad de optimizar la eficiencia de los procesos se ha visto por conveniente la implantación de sistemas automatizados mediante robots, para lo cual se ha identificado la necesidad de automatizar actividades manuales y repetitivas en 10 procesos de servicios que brinda el Banco.</v>
      </c>
      <c r="F15" s="347" t="str">
        <f>'Portafolio P&amp;D'!AD17</f>
        <v>03. Implementado</v>
      </c>
      <c r="G15" s="129">
        <f>'Portafolio P&amp;D'!Q17</f>
        <v>2023</v>
      </c>
      <c r="H15" s="129">
        <f>'Portafolio P&amp;D'!R17</f>
        <v>2025</v>
      </c>
      <c r="I15" s="129" t="str">
        <f>'Portafolio P&amp;D'!E17</f>
        <v>Operaciones</v>
      </c>
      <c r="J15" s="129" t="str">
        <f>'Portafolio P&amp;D'!F17</f>
        <v>María Luisa Guevara</v>
      </c>
      <c r="K15" s="130">
        <f>'Portafolio P&amp;D'!I17</f>
        <v>2166000</v>
      </c>
      <c r="L15" s="129" t="str">
        <f>'Portafolio P&amp;D'!O17</f>
        <v>Procesos Digitales</v>
      </c>
      <c r="M15" s="129" t="str">
        <f>'Portafolio P&amp;D'!P17</f>
        <v>Gestión Interna</v>
      </c>
      <c r="N15" s="128" t="s">
        <v>36</v>
      </c>
      <c r="O15" s="140">
        <v>0.61</v>
      </c>
      <c r="P15" s="140">
        <v>0.49</v>
      </c>
      <c r="Q15" s="140">
        <v>0.73</v>
      </c>
      <c r="R15" s="140">
        <v>0.49</v>
      </c>
      <c r="S15" s="140">
        <v>0.7</v>
      </c>
      <c r="T15" s="140">
        <v>0.4</v>
      </c>
      <c r="U15" s="140">
        <v>0.96</v>
      </c>
      <c r="V15" s="140">
        <v>0.4</v>
      </c>
      <c r="W15" s="140">
        <v>0.38</v>
      </c>
      <c r="X15" s="140">
        <v>0.4</v>
      </c>
      <c r="Y15" s="140">
        <v>0.39</v>
      </c>
      <c r="Z15" s="140">
        <v>0.4</v>
      </c>
      <c r="AA15" s="140">
        <v>0.39</v>
      </c>
      <c r="AB15" s="140">
        <v>0.4</v>
      </c>
      <c r="AC15" s="140">
        <v>0.4</v>
      </c>
      <c r="AD15" s="140">
        <v>0.4</v>
      </c>
      <c r="AE15" s="140">
        <v>0.45</v>
      </c>
      <c r="AF15" s="140">
        <v>0.41</v>
      </c>
      <c r="AG15" s="140">
        <v>0.54</v>
      </c>
      <c r="AH15" s="140">
        <v>0.44</v>
      </c>
      <c r="AI15" s="140">
        <v>0.72</v>
      </c>
      <c r="AJ15" s="140">
        <v>0.48</v>
      </c>
      <c r="AK15" s="140">
        <v>0.79</v>
      </c>
      <c r="AL15" s="140">
        <v>0.54</v>
      </c>
      <c r="AM15" s="140">
        <v>0.56999999999999995</v>
      </c>
      <c r="AN15" s="140">
        <v>0.6</v>
      </c>
      <c r="AO15" s="140">
        <v>0.75</v>
      </c>
      <c r="AP15" s="140">
        <v>0.74</v>
      </c>
      <c r="AQ15" s="140">
        <v>0.81</v>
      </c>
      <c r="AR15" s="140">
        <v>0.75</v>
      </c>
      <c r="AS15" s="140">
        <v>0.88</v>
      </c>
      <c r="AT15" s="140">
        <v>0.82</v>
      </c>
      <c r="AU15" s="140">
        <v>0.96</v>
      </c>
      <c r="AV15" s="140">
        <v>0.87</v>
      </c>
      <c r="AW15" s="140">
        <v>1</v>
      </c>
      <c r="AX15" s="140">
        <v>0.88</v>
      </c>
      <c r="AY15" s="140">
        <v>1</v>
      </c>
      <c r="AZ15" s="140">
        <v>0.89</v>
      </c>
      <c r="BA15" s="140">
        <v>1</v>
      </c>
      <c r="BB15" s="140">
        <v>0.89</v>
      </c>
      <c r="BC15" s="140">
        <v>1</v>
      </c>
      <c r="BD15" s="140">
        <v>0.9</v>
      </c>
      <c r="BE15" s="140">
        <v>1</v>
      </c>
      <c r="BF15" s="140">
        <v>0.91</v>
      </c>
      <c r="BG15" s="140">
        <v>0.94</v>
      </c>
      <c r="BH15" s="140">
        <v>0.93</v>
      </c>
      <c r="BI15" s="140">
        <v>0.98</v>
      </c>
      <c r="BJ15" s="464">
        <v>0.95</v>
      </c>
      <c r="BK15" s="140">
        <v>1</v>
      </c>
      <c r="BL15" s="464">
        <v>0.98</v>
      </c>
      <c r="BM15" s="464">
        <v>1</v>
      </c>
      <c r="BN15" s="464">
        <v>1</v>
      </c>
      <c r="BO15" s="146" t="s">
        <v>929</v>
      </c>
    </row>
    <row r="16" spans="2:67" ht="78.75" customHeight="1">
      <c r="B16" s="133">
        <v>9</v>
      </c>
      <c r="C16" s="135" t="str">
        <f>'Portafolio P&amp;D'!B10</f>
        <v>PROGRO-EO08-23-12</v>
      </c>
      <c r="D16" s="134" t="str">
        <f>'Portafolio P&amp;D'!C10</f>
        <v>Servicio de Implementación y Licenciamiento de un Software para la Gestión del Riesgo Operacional, Seguridad de la Información y Continuidad del Negocio para el BN</v>
      </c>
      <c r="E16" s="336" t="str">
        <f>'Portafolio P&amp;D'!D10</f>
        <v>Fortalecer la Gestión de Riesgo Operacional, Seguridad de la Información y Continuidad del Negocio del Banco de la Nación</v>
      </c>
      <c r="F16" s="134" t="str">
        <f>'Portafolio P&amp;D'!AD10</f>
        <v>02. En Curso</v>
      </c>
      <c r="G16" s="135">
        <f>'Portafolio P&amp;D'!Q10</f>
        <v>2023</v>
      </c>
      <c r="H16" s="135">
        <f>'Portafolio P&amp;D'!R10</f>
        <v>2025</v>
      </c>
      <c r="I16" s="135" t="str">
        <f>'Portafolio P&amp;D'!E10</f>
        <v>Riesgos</v>
      </c>
      <c r="J16" s="135" t="str">
        <f>'Portafolio P&amp;D'!F10</f>
        <v>Victoria Galvez</v>
      </c>
      <c r="K16" s="136">
        <f>'Portafolio P&amp;D'!I10</f>
        <v>1884223</v>
      </c>
      <c r="L16" s="135" t="str">
        <f>'Portafolio P&amp;D'!O10</f>
        <v>Tecnológica</v>
      </c>
      <c r="M16" s="135" t="str">
        <f>'Portafolio P&amp;D'!P10</f>
        <v>Gestión Interna</v>
      </c>
      <c r="N16" s="133" t="s">
        <v>36</v>
      </c>
      <c r="O16" s="137">
        <v>0.39</v>
      </c>
      <c r="P16" s="137">
        <v>0.35</v>
      </c>
      <c r="Q16" s="137">
        <v>0.45</v>
      </c>
      <c r="R16" s="137">
        <v>0.41</v>
      </c>
      <c r="S16" s="137">
        <v>0.32</v>
      </c>
      <c r="T16" s="137">
        <v>0.25</v>
      </c>
      <c r="U16" s="137">
        <v>0.48</v>
      </c>
      <c r="V16" s="137">
        <v>0.25</v>
      </c>
      <c r="W16" s="137">
        <v>0.63</v>
      </c>
      <c r="X16" s="137">
        <v>0.42</v>
      </c>
      <c r="Y16" s="137">
        <v>0.72</v>
      </c>
      <c r="Z16" s="137">
        <v>0.48</v>
      </c>
      <c r="AA16" s="137">
        <v>0.75</v>
      </c>
      <c r="AB16" s="137">
        <v>0.53</v>
      </c>
      <c r="AC16" s="137">
        <v>0.79</v>
      </c>
      <c r="AD16" s="137">
        <v>0.54</v>
      </c>
      <c r="AE16" s="137">
        <v>0.83</v>
      </c>
      <c r="AF16" s="137">
        <v>0.55000000000000004</v>
      </c>
      <c r="AG16" s="137">
        <v>0.87</v>
      </c>
      <c r="AH16" s="137">
        <v>0.56000000000000005</v>
      </c>
      <c r="AI16" s="137">
        <v>0.95</v>
      </c>
      <c r="AJ16" s="137">
        <v>0.57999999999999996</v>
      </c>
      <c r="AK16" s="137">
        <v>1</v>
      </c>
      <c r="AL16" s="137">
        <v>0.57999999999999996</v>
      </c>
      <c r="AM16" s="137">
        <v>1</v>
      </c>
      <c r="AN16" s="137">
        <v>0.6</v>
      </c>
      <c r="AO16" s="137">
        <v>0.34</v>
      </c>
      <c r="AP16" s="137">
        <v>0.36</v>
      </c>
      <c r="AQ16" s="137">
        <v>0.65</v>
      </c>
      <c r="AR16" s="137">
        <v>0.4</v>
      </c>
      <c r="AS16" s="137">
        <v>0.8</v>
      </c>
      <c r="AT16" s="137">
        <v>0.44</v>
      </c>
      <c r="AU16" s="137">
        <v>0.85</v>
      </c>
      <c r="AV16" s="137">
        <v>0.47</v>
      </c>
      <c r="AW16" s="137">
        <v>0.9</v>
      </c>
      <c r="AX16" s="137">
        <v>0.5</v>
      </c>
      <c r="AY16" s="137">
        <v>1</v>
      </c>
      <c r="AZ16" s="137">
        <v>0.55000000000000004</v>
      </c>
      <c r="BA16" s="137">
        <v>1</v>
      </c>
      <c r="BB16" s="137">
        <v>0.66</v>
      </c>
      <c r="BC16" s="137">
        <v>1</v>
      </c>
      <c r="BD16" s="137">
        <v>0.7</v>
      </c>
      <c r="BE16" s="137">
        <v>1</v>
      </c>
      <c r="BF16" s="137">
        <v>0.76</v>
      </c>
      <c r="BG16" s="137">
        <v>0.85</v>
      </c>
      <c r="BH16" s="137">
        <v>0.83</v>
      </c>
      <c r="BI16" s="137">
        <v>0.88</v>
      </c>
      <c r="BJ16" s="465">
        <v>0.88</v>
      </c>
      <c r="BK16" s="137">
        <v>1</v>
      </c>
      <c r="BL16" s="465">
        <v>0.99</v>
      </c>
      <c r="BM16" s="465">
        <v>0.96</v>
      </c>
      <c r="BN16" s="465">
        <v>0.96</v>
      </c>
      <c r="BO16" s="138" t="s">
        <v>930</v>
      </c>
    </row>
    <row r="17" spans="2:67" ht="66" customHeight="1">
      <c r="B17" s="128">
        <v>10</v>
      </c>
      <c r="C17" s="128" t="str">
        <f>'Portafolio P&amp;D'!B12</f>
        <v>PROASL-EO10-23-18</v>
      </c>
      <c r="D17" s="347" t="str">
        <f>'Portafolio P&amp;D'!C12</f>
        <v>Adquisición de Switches Lan para las sedes Administrativas y dependencias del BN</v>
      </c>
      <c r="E17" s="337" t="str">
        <f>'Portafolio P&amp;D'!D12</f>
        <v>Renovar los equipos de comunicaciones que brindan el acceso a la red del banco a los usuarios administrativos y de las dependencias como Agencias, Lobbys y Oficinas especiales, usando protocolos de seguridad y acceso actualizados y estándares en la industria de Tl.</v>
      </c>
      <c r="F17" s="142" t="str">
        <f>'Portafolio P&amp;D'!AD12</f>
        <v>03. Implementado</v>
      </c>
      <c r="G17" s="129">
        <f>'Portafolio P&amp;D'!Q12</f>
        <v>2023</v>
      </c>
      <c r="H17" s="129">
        <f>'Portafolio P&amp;D'!R12</f>
        <v>2025</v>
      </c>
      <c r="I17" s="129" t="str">
        <f>'Portafolio P&amp;D'!E12</f>
        <v>Tecnologías de Información</v>
      </c>
      <c r="J17" s="129" t="str">
        <f>'Portafolio P&amp;D'!F12</f>
        <v>Alejandro Sifuentes</v>
      </c>
      <c r="K17" s="130">
        <f>'Portafolio P&amp;D'!I12</f>
        <v>7584500</v>
      </c>
      <c r="L17" s="129" t="str">
        <f>'Portafolio P&amp;D'!O12</f>
        <v>Tecnológica</v>
      </c>
      <c r="M17" s="129" t="str">
        <f>'Portafolio P&amp;D'!P12</f>
        <v>De cara al ciudadano</v>
      </c>
      <c r="N17" s="128" t="s">
        <v>36</v>
      </c>
      <c r="O17" s="140">
        <v>0.55000000000000004</v>
      </c>
      <c r="P17" s="140">
        <v>0.47</v>
      </c>
      <c r="Q17" s="140">
        <v>0.59</v>
      </c>
      <c r="R17" s="140">
        <v>0.47</v>
      </c>
      <c r="S17" s="140">
        <v>0.53</v>
      </c>
      <c r="T17" s="140">
        <v>0.38</v>
      </c>
      <c r="U17" s="140">
        <v>0.57999999999999996</v>
      </c>
      <c r="V17" s="140">
        <v>0.4</v>
      </c>
      <c r="W17" s="140">
        <v>0.64</v>
      </c>
      <c r="X17" s="140">
        <v>0.46</v>
      </c>
      <c r="Y17" s="140">
        <v>0.59</v>
      </c>
      <c r="Z17" s="140">
        <v>0.66</v>
      </c>
      <c r="AA17" s="140">
        <v>0.62</v>
      </c>
      <c r="AB17" s="140">
        <v>0.67</v>
      </c>
      <c r="AC17" s="140">
        <v>0.66</v>
      </c>
      <c r="AD17" s="140">
        <v>0.68</v>
      </c>
      <c r="AE17" s="140">
        <v>0.69</v>
      </c>
      <c r="AF17" s="140">
        <v>0.72</v>
      </c>
      <c r="AG17" s="140">
        <v>0.74</v>
      </c>
      <c r="AH17" s="140">
        <v>0.76</v>
      </c>
      <c r="AI17" s="140">
        <v>0.77</v>
      </c>
      <c r="AJ17" s="140">
        <v>0.78</v>
      </c>
      <c r="AK17" s="140">
        <v>0.8</v>
      </c>
      <c r="AL17" s="140">
        <v>0.79</v>
      </c>
      <c r="AM17" s="140">
        <v>0.82</v>
      </c>
      <c r="AN17" s="140">
        <v>0.79</v>
      </c>
      <c r="AO17" s="140">
        <v>0.85</v>
      </c>
      <c r="AP17" s="140">
        <v>0.81</v>
      </c>
      <c r="AQ17" s="140">
        <v>0.89</v>
      </c>
      <c r="AR17" s="140">
        <v>0.87</v>
      </c>
      <c r="AS17" s="140">
        <v>1</v>
      </c>
      <c r="AT17" s="140">
        <v>1</v>
      </c>
      <c r="AU17" s="140">
        <v>1</v>
      </c>
      <c r="AV17" s="140">
        <v>1</v>
      </c>
      <c r="AW17" s="140">
        <v>1</v>
      </c>
      <c r="AX17" s="140">
        <v>1</v>
      </c>
      <c r="AY17" s="140">
        <v>1</v>
      </c>
      <c r="AZ17" s="140">
        <v>1</v>
      </c>
      <c r="BA17" s="140">
        <v>1</v>
      </c>
      <c r="BB17" s="140">
        <v>1</v>
      </c>
      <c r="BC17" s="140">
        <v>1</v>
      </c>
      <c r="BD17" s="140">
        <v>1</v>
      </c>
      <c r="BE17" s="140">
        <v>1</v>
      </c>
      <c r="BF17" s="140">
        <v>1</v>
      </c>
      <c r="BG17" s="140">
        <v>1</v>
      </c>
      <c r="BH17" s="140">
        <v>1</v>
      </c>
      <c r="BI17" s="140">
        <v>1</v>
      </c>
      <c r="BJ17" s="464">
        <v>1</v>
      </c>
      <c r="BK17" s="140">
        <v>1</v>
      </c>
      <c r="BL17" s="464">
        <v>1</v>
      </c>
      <c r="BM17" s="140">
        <v>1</v>
      </c>
      <c r="BN17" s="464">
        <v>1</v>
      </c>
      <c r="BO17" s="469" t="s">
        <v>926</v>
      </c>
    </row>
    <row r="18" spans="2:67" ht="93" customHeight="1">
      <c r="B18" s="133">
        <v>11</v>
      </c>
      <c r="C18" s="133" t="str">
        <f>'Portafolio P&amp;D'!B13</f>
        <v>PROGSE-EO10-23-19</v>
      </c>
      <c r="D18" s="134" t="str">
        <f>'Portafolio P&amp;D'!C13</f>
        <v>Adquisición de Solución de Granja de Servidores Empresariales</v>
      </c>
      <c r="E18" s="336" t="str">
        <f>'Portafolio P&amp;D'!D13</f>
        <v>Renovar y ampliar los recursos de infraestructura de servidores con los que cuenta el Banco, garantizando su continuidad, disponibilidad y la mejora de su rendimiento operativo. Asimismo, la de soportar/operar toda la carga operacional de los servidores en cada uno de los Centros de Cómputo del Banco de forma independiente, considerando también cubrir la demanda de crecimiento futuro de servidores requeridos por nuestra institución.</v>
      </c>
      <c r="F18" s="142" t="str">
        <f>'Portafolio P&amp;D'!AD13</f>
        <v>03. Implementado</v>
      </c>
      <c r="G18" s="135">
        <f>'Portafolio P&amp;D'!Q13</f>
        <v>2023</v>
      </c>
      <c r="H18" s="135">
        <f>'Portafolio P&amp;D'!R13</f>
        <v>2024</v>
      </c>
      <c r="I18" s="135" t="str">
        <f>'Portafolio P&amp;D'!E13</f>
        <v>Tecnologías de Información</v>
      </c>
      <c r="J18" s="135" t="str">
        <f>'Portafolio P&amp;D'!F13</f>
        <v>Alejandro Sifuentes</v>
      </c>
      <c r="K18" s="136">
        <f>'Portafolio P&amp;D'!I13</f>
        <v>7000000</v>
      </c>
      <c r="L18" s="135" t="str">
        <f>'Portafolio P&amp;D'!O13</f>
        <v>Tecnológica</v>
      </c>
      <c r="M18" s="135" t="str">
        <f>'Portafolio P&amp;D'!P13</f>
        <v>De cara al ciudadano</v>
      </c>
      <c r="N18" s="133" t="s">
        <v>36</v>
      </c>
      <c r="O18" s="137">
        <v>0.66</v>
      </c>
      <c r="P18" s="137">
        <v>0.65</v>
      </c>
      <c r="Q18" s="137">
        <v>0.72</v>
      </c>
      <c r="R18" s="137">
        <v>0.66</v>
      </c>
      <c r="S18" s="137">
        <v>0.56999999999999995</v>
      </c>
      <c r="T18" s="137">
        <v>0.36</v>
      </c>
      <c r="U18" s="137">
        <v>0.68</v>
      </c>
      <c r="V18" s="137">
        <v>0.39</v>
      </c>
      <c r="W18" s="137">
        <v>0.8</v>
      </c>
      <c r="X18" s="137">
        <v>0.44</v>
      </c>
      <c r="Y18" s="137">
        <v>0.9</v>
      </c>
      <c r="Z18" s="137">
        <v>0.48</v>
      </c>
      <c r="AA18" s="137">
        <v>1</v>
      </c>
      <c r="AB18" s="137">
        <v>0.54</v>
      </c>
      <c r="AC18" s="137">
        <v>0.85</v>
      </c>
      <c r="AD18" s="137">
        <v>0.85</v>
      </c>
      <c r="AE18" s="137">
        <v>0.9</v>
      </c>
      <c r="AF18" s="137">
        <v>0.89</v>
      </c>
      <c r="AG18" s="137">
        <v>1</v>
      </c>
      <c r="AH18" s="137">
        <v>1</v>
      </c>
      <c r="AI18" s="137">
        <v>1</v>
      </c>
      <c r="AJ18" s="137">
        <v>1</v>
      </c>
      <c r="AK18" s="137">
        <v>1</v>
      </c>
      <c r="AL18" s="137">
        <v>1</v>
      </c>
      <c r="AM18" s="137">
        <v>1</v>
      </c>
      <c r="AN18" s="137">
        <v>1</v>
      </c>
      <c r="AO18" s="137">
        <v>1</v>
      </c>
      <c r="AP18" s="137">
        <v>1</v>
      </c>
      <c r="AQ18" s="137">
        <v>1</v>
      </c>
      <c r="AR18" s="137">
        <v>1</v>
      </c>
      <c r="AS18" s="137">
        <v>1</v>
      </c>
      <c r="AT18" s="137">
        <v>1</v>
      </c>
      <c r="AU18" s="137">
        <v>1</v>
      </c>
      <c r="AV18" s="137">
        <v>1</v>
      </c>
      <c r="AW18" s="137">
        <v>1</v>
      </c>
      <c r="AX18" s="137">
        <v>1</v>
      </c>
      <c r="AY18" s="137">
        <v>1</v>
      </c>
      <c r="AZ18" s="137">
        <v>1</v>
      </c>
      <c r="BA18" s="137">
        <v>1</v>
      </c>
      <c r="BB18" s="137">
        <v>1</v>
      </c>
      <c r="BC18" s="137">
        <v>1</v>
      </c>
      <c r="BD18" s="137">
        <v>1</v>
      </c>
      <c r="BE18" s="137">
        <v>1</v>
      </c>
      <c r="BF18" s="137">
        <v>1</v>
      </c>
      <c r="BG18" s="137">
        <v>1</v>
      </c>
      <c r="BH18" s="137">
        <v>1</v>
      </c>
      <c r="BI18" s="137">
        <v>1</v>
      </c>
      <c r="BJ18" s="465">
        <v>1</v>
      </c>
      <c r="BK18" s="137">
        <v>1</v>
      </c>
      <c r="BL18" s="465">
        <v>1</v>
      </c>
      <c r="BM18" s="137">
        <v>1</v>
      </c>
      <c r="BN18" s="465">
        <v>1</v>
      </c>
      <c r="BO18" s="469" t="s">
        <v>931</v>
      </c>
    </row>
    <row r="19" spans="2:67" ht="77.25" customHeight="1">
      <c r="B19" s="128">
        <v>12</v>
      </c>
      <c r="C19" s="128" t="str">
        <f>'Portafolio P&amp;D'!B31</f>
        <v>ID N°</v>
      </c>
      <c r="D19" s="347" t="str">
        <f>'Portafolio P&amp;D'!C31</f>
        <v>Implementación de un gestor integración por API'S.</v>
      </c>
      <c r="E19" s="337" t="str">
        <f>'Portafolio P&amp;D'!D31</f>
        <v>Implementación de una arquitectura tecnológica basada en Interface de Programación de Aplicaciones (API’s), incluyendo el despliegue de un API Gateway y Management, considerando la reutilización de lógica de negocio existente en los sistemas Legacy en combinación con nuevos desarrollos en plataformas tecnológicamente modernas en el Banco de la Nación.</v>
      </c>
      <c r="F19" s="142" t="str">
        <f>'Portafolio P&amp;D'!AD31</f>
        <v>03. Implementado</v>
      </c>
      <c r="G19" s="129">
        <f>'Portafolio P&amp;D'!Q31</f>
        <v>2023</v>
      </c>
      <c r="H19" s="129">
        <f>'Portafolio P&amp;D'!R31</f>
        <v>2023</v>
      </c>
      <c r="I19" s="129" t="str">
        <f>'Portafolio P&amp;D'!E31</f>
        <v>Tecnologías de Información</v>
      </c>
      <c r="J19" s="129" t="str">
        <f>'Portafolio P&amp;D'!F31</f>
        <v>Fernando Avellaneda</v>
      </c>
      <c r="K19" s="130">
        <f>'Portafolio P&amp;D'!I31</f>
        <v>119232324</v>
      </c>
      <c r="L19" s="129" t="str">
        <f>'Portafolio P&amp;D'!O31</f>
        <v>Tecnológica</v>
      </c>
      <c r="M19" s="129" t="str">
        <f>'Portafolio P&amp;D'!P31</f>
        <v>De cara al ciudadano</v>
      </c>
      <c r="N19" s="140">
        <v>1</v>
      </c>
      <c r="O19" s="128" t="s">
        <v>36</v>
      </c>
      <c r="P19" s="128" t="s">
        <v>36</v>
      </c>
      <c r="Q19" s="128" t="s">
        <v>36</v>
      </c>
      <c r="R19" s="128" t="s">
        <v>36</v>
      </c>
      <c r="S19" s="128" t="s">
        <v>36</v>
      </c>
      <c r="T19" s="128" t="s">
        <v>36</v>
      </c>
      <c r="U19" s="128" t="s">
        <v>36</v>
      </c>
      <c r="V19" s="128" t="s">
        <v>36</v>
      </c>
      <c r="W19" s="128" t="s">
        <v>36</v>
      </c>
      <c r="X19" s="128" t="s">
        <v>36</v>
      </c>
      <c r="Y19" s="128" t="s">
        <v>36</v>
      </c>
      <c r="Z19" s="128" t="s">
        <v>36</v>
      </c>
      <c r="AA19" s="128" t="s">
        <v>36</v>
      </c>
      <c r="AB19" s="128" t="s">
        <v>36</v>
      </c>
      <c r="AC19" s="128" t="s">
        <v>36</v>
      </c>
      <c r="AD19" s="128" t="s">
        <v>36</v>
      </c>
      <c r="AE19" s="128" t="s">
        <v>36</v>
      </c>
      <c r="AF19" s="128" t="s">
        <v>36</v>
      </c>
      <c r="AG19" s="128" t="s">
        <v>36</v>
      </c>
      <c r="AH19" s="128" t="s">
        <v>36</v>
      </c>
      <c r="AI19" s="128" t="s">
        <v>36</v>
      </c>
      <c r="AJ19" s="128" t="s">
        <v>36</v>
      </c>
      <c r="AK19" s="128" t="s">
        <v>36</v>
      </c>
      <c r="AL19" s="128" t="s">
        <v>36</v>
      </c>
      <c r="AM19" s="128" t="s">
        <v>36</v>
      </c>
      <c r="AN19" s="128" t="s">
        <v>36</v>
      </c>
      <c r="AO19" s="147">
        <v>1</v>
      </c>
      <c r="AP19" s="147">
        <v>1</v>
      </c>
      <c r="AQ19" s="140">
        <v>1</v>
      </c>
      <c r="AR19" s="140">
        <v>1</v>
      </c>
      <c r="AS19" s="140">
        <v>1</v>
      </c>
      <c r="AT19" s="140">
        <v>1</v>
      </c>
      <c r="AU19" s="140">
        <v>1</v>
      </c>
      <c r="AV19" s="140">
        <v>1</v>
      </c>
      <c r="AW19" s="140">
        <v>1</v>
      </c>
      <c r="AX19" s="140">
        <v>1</v>
      </c>
      <c r="AY19" s="140">
        <v>1</v>
      </c>
      <c r="AZ19" s="140">
        <v>1</v>
      </c>
      <c r="BA19" s="140">
        <v>1</v>
      </c>
      <c r="BB19" s="140">
        <v>1</v>
      </c>
      <c r="BC19" s="140">
        <v>1</v>
      </c>
      <c r="BD19" s="140">
        <v>1</v>
      </c>
      <c r="BE19" s="140">
        <v>1</v>
      </c>
      <c r="BF19" s="140">
        <v>1</v>
      </c>
      <c r="BG19" s="140">
        <v>1</v>
      </c>
      <c r="BH19" s="140">
        <v>1</v>
      </c>
      <c r="BI19" s="140">
        <v>1</v>
      </c>
      <c r="BJ19" s="464">
        <v>1</v>
      </c>
      <c r="BK19" s="140">
        <v>1</v>
      </c>
      <c r="BL19" s="464">
        <v>1</v>
      </c>
      <c r="BM19" s="140">
        <v>1</v>
      </c>
      <c r="BN19" s="464">
        <v>1</v>
      </c>
      <c r="BO19" s="469" t="s">
        <v>932</v>
      </c>
    </row>
    <row r="20" spans="2:67" ht="93.75" customHeight="1">
      <c r="B20" s="133">
        <v>13</v>
      </c>
      <c r="C20" s="135" t="str">
        <f>'Portafolio P&amp;D'!B11</f>
        <v>PROPLAFT-EO08-23-13</v>
      </c>
      <c r="D20" s="134" t="str">
        <f>'Portafolio P&amp;D'!C11</f>
        <v>Implementación de la Solución tecnológica para la prevención de fraudes, lavado de activos y del financiamiento del terrorismo (LA/FT) y aplicación de scoring de riesgos de LA/FT</v>
      </c>
      <c r="E20" s="336" t="str">
        <f>'Portafolio P&amp;D'!D11</f>
        <v>El proyecto que inició el 19.03.2021, consiste en implementar una solución tecnológica conformada por hardware (opcional), Software, Capacitación o entrenamiento y Servicios orientada a monitorear transacciones sospechosas a fin de prevenir y/o detectar oportunamente operaciones fraudulentas y/o de presunto lavado de activos y financiamiento del terrorismo en el Banco de la Nación (en adelante BN) a nivel Nacional.</v>
      </c>
      <c r="F20" s="134" t="str">
        <f>'Portafolio P&amp;D'!AD11</f>
        <v>02. En Curso</v>
      </c>
      <c r="G20" s="135">
        <f>'Portafolio P&amp;D'!Q11</f>
        <v>2021</v>
      </c>
      <c r="H20" s="135">
        <f>'Portafolio P&amp;D'!R11</f>
        <v>2025</v>
      </c>
      <c r="I20" s="135" t="str">
        <f>'Portafolio P&amp;D'!E11</f>
        <v>Riesgos</v>
      </c>
      <c r="J20" s="135" t="str">
        <f>'Portafolio P&amp;D'!F11</f>
        <v>Victoria Galvez</v>
      </c>
      <c r="K20" s="136">
        <f>'Portafolio P&amp;D'!I11</f>
        <v>11876434.84</v>
      </c>
      <c r="L20" s="135" t="str">
        <f>'Portafolio P&amp;D'!O11</f>
        <v>Tecnológica</v>
      </c>
      <c r="M20" s="135" t="str">
        <f>'Portafolio P&amp;D'!P11</f>
        <v>De cara al ciudadano</v>
      </c>
      <c r="N20" s="133" t="s">
        <v>36</v>
      </c>
      <c r="O20" s="137">
        <v>0.84</v>
      </c>
      <c r="P20" s="137">
        <v>0.75</v>
      </c>
      <c r="Q20" s="137">
        <v>0.86</v>
      </c>
      <c r="R20" s="137">
        <v>0.75</v>
      </c>
      <c r="S20" s="133" t="s">
        <v>36</v>
      </c>
      <c r="T20" s="133" t="s">
        <v>36</v>
      </c>
      <c r="U20" s="133" t="s">
        <v>36</v>
      </c>
      <c r="V20" s="133" t="s">
        <v>36</v>
      </c>
      <c r="W20" s="133" t="s">
        <v>36</v>
      </c>
      <c r="X20" s="133" t="s">
        <v>36</v>
      </c>
      <c r="Y20" s="137">
        <v>0.79</v>
      </c>
      <c r="Z20" s="137">
        <v>0.71</v>
      </c>
      <c r="AA20" s="137">
        <v>0.81</v>
      </c>
      <c r="AB20" s="137">
        <v>0.78</v>
      </c>
      <c r="AC20" s="137">
        <v>0.82</v>
      </c>
      <c r="AD20" s="137">
        <v>0.78</v>
      </c>
      <c r="AE20" s="137">
        <v>0.87</v>
      </c>
      <c r="AF20" s="137">
        <v>0.78</v>
      </c>
      <c r="AG20" s="137">
        <v>0.9</v>
      </c>
      <c r="AH20" s="137">
        <v>0.78</v>
      </c>
      <c r="AI20" s="137">
        <v>0.92</v>
      </c>
      <c r="AJ20" s="137">
        <v>0.78</v>
      </c>
      <c r="AK20" s="137">
        <v>0.94</v>
      </c>
      <c r="AL20" s="137">
        <v>0.8</v>
      </c>
      <c r="AM20" s="137">
        <v>0.97</v>
      </c>
      <c r="AN20" s="137">
        <v>0.8</v>
      </c>
      <c r="AO20" s="137">
        <v>0.98</v>
      </c>
      <c r="AP20" s="137">
        <v>0.83</v>
      </c>
      <c r="AQ20" s="137">
        <v>0.99</v>
      </c>
      <c r="AR20" s="137">
        <v>0.83</v>
      </c>
      <c r="AS20" s="137">
        <v>0.99</v>
      </c>
      <c r="AT20" s="137">
        <v>0.83</v>
      </c>
      <c r="AU20" s="137">
        <v>0.99</v>
      </c>
      <c r="AV20" s="137">
        <v>0.8</v>
      </c>
      <c r="AW20" s="133" t="s">
        <v>36</v>
      </c>
      <c r="AX20" s="133" t="s">
        <v>36</v>
      </c>
      <c r="AY20" s="133" t="s">
        <v>36</v>
      </c>
      <c r="AZ20" s="133" t="s">
        <v>36</v>
      </c>
      <c r="BA20" s="133" t="s">
        <v>36</v>
      </c>
      <c r="BB20" s="133" t="s">
        <v>36</v>
      </c>
      <c r="BC20" s="133" t="s">
        <v>36</v>
      </c>
      <c r="BD20" s="133" t="s">
        <v>36</v>
      </c>
      <c r="BE20" s="137">
        <v>1</v>
      </c>
      <c r="BF20" s="137">
        <v>0.27</v>
      </c>
      <c r="BG20" s="137">
        <v>0.47</v>
      </c>
      <c r="BH20" s="137">
        <v>0.27</v>
      </c>
      <c r="BI20" s="137">
        <v>0.49</v>
      </c>
      <c r="BJ20" s="465">
        <v>0.47</v>
      </c>
      <c r="BK20" s="137" t="s">
        <v>36</v>
      </c>
      <c r="BL20" s="465" t="s">
        <v>36</v>
      </c>
      <c r="BM20" s="465" t="s">
        <v>36</v>
      </c>
      <c r="BN20" s="465" t="s">
        <v>36</v>
      </c>
      <c r="BO20" s="138" t="s">
        <v>933</v>
      </c>
    </row>
    <row r="21" spans="2:67" ht="27" customHeight="1">
      <c r="B21" s="128"/>
      <c r="C21" s="129" t="str">
        <f>'Portafolio P&amp;D'!B15</f>
        <v>ID N°</v>
      </c>
      <c r="D21" s="347" t="str">
        <f>'Portafolio P&amp;D'!C15</f>
        <v>Servicio Levantamiento Secreto Bancario</v>
      </c>
      <c r="E21" s="338" t="str">
        <f>'Portafolio P&amp;D'!D15</f>
        <v>Actualmente se brinda el servicio Levantamiento del Secreto Bancario, el cual atiende al Poder Judicial principalmente. 
Dicho servicio para su atención, requiere de información transversal que proviene de distintas áreas del Banco y son consolidadas por la Sección Depositos Judiciales. Las actividades de cada uno de los distintos procesos son atendidos de manera manual  y de forma repetitiva, los cuales conllevan a riesgos de error operativo y posibles pérdidas económicas.
La solución busca Optimizar la eficiencia de los procesos (OEI 8), mediante la automatización del proceso lo que incidirá en la Mejorar la experiencia del Cliente (OEI 4), los que se medirán en la disminución de los tiempos de atención conforme a cada proceso automatizado, y reducir el riesgo de multas y demandas al BN.</v>
      </c>
      <c r="F21" s="339" t="str">
        <f>'Portafolio P&amp;D'!AD15</f>
        <v>04. Cerrado</v>
      </c>
      <c r="G21" s="129">
        <f>'Portafolio P&amp;D'!Q15</f>
        <v>2023</v>
      </c>
      <c r="H21" s="129">
        <f>'Portafolio P&amp;D'!R15</f>
        <v>2024</v>
      </c>
      <c r="I21" s="129" t="str">
        <f>'Portafolio P&amp;D'!E15</f>
        <v>Operaciones</v>
      </c>
      <c r="J21" s="129" t="str">
        <f>'Portafolio P&amp;D'!F15</f>
        <v>Carla Figallo</v>
      </c>
      <c r="K21" s="130">
        <f>'Portafolio P&amp;D'!I15</f>
        <v>101600</v>
      </c>
      <c r="L21" s="129" t="str">
        <f>'Portafolio P&amp;D'!O15</f>
        <v>Procesos Digitales</v>
      </c>
      <c r="M21" s="129" t="str">
        <f>'Portafolio P&amp;D'!P15</f>
        <v>De cara al ciudadano</v>
      </c>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31"/>
      <c r="BK21" s="128"/>
      <c r="BL21" s="131"/>
      <c r="BM21" s="131"/>
      <c r="BN21" s="131"/>
      <c r="BO21" s="132"/>
    </row>
    <row r="22" spans="2:67" ht="27.75" customHeight="1">
      <c r="B22" s="133"/>
      <c r="C22" s="135" t="str">
        <f>'Portafolio P&amp;D'!B21</f>
        <v>ID N°</v>
      </c>
      <c r="D22" s="134" t="str">
        <f>'Portafolio P&amp;D'!C21</f>
        <v xml:space="preserve">Centro de Operaciones de Ciberseguridad </v>
      </c>
      <c r="E22" s="336">
        <f>'Portafolio P&amp;D'!D21</f>
        <v>0</v>
      </c>
      <c r="F22" s="340" t="str">
        <f>'Portafolio P&amp;D'!AD21</f>
        <v>03. Implementado</v>
      </c>
      <c r="G22" s="135" t="str">
        <f>'Portafolio P&amp;D'!Q21</f>
        <v xml:space="preserve"> </v>
      </c>
      <c r="H22" s="135" t="str">
        <f>'Portafolio P&amp;D'!R21</f>
        <v xml:space="preserve"> </v>
      </c>
      <c r="I22" s="135" t="str">
        <f>'Portafolio P&amp;D'!E21</f>
        <v>Tecnologías de Información</v>
      </c>
      <c r="J22" s="135" t="str">
        <f>'Portafolio P&amp;D'!F21</f>
        <v>-</v>
      </c>
      <c r="K22" s="136">
        <f>'Portafolio P&amp;D'!I21</f>
        <v>28478865.600000001</v>
      </c>
      <c r="L22" s="135" t="str">
        <f>'Portafolio P&amp;D'!O21</f>
        <v>Tecnológica</v>
      </c>
      <c r="M22" s="135">
        <f>'Portafolio P&amp;D'!P21</f>
        <v>0</v>
      </c>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41"/>
      <c r="BK22" s="133"/>
      <c r="BL22" s="141"/>
      <c r="BM22" s="141"/>
      <c r="BN22" s="141"/>
      <c r="BO22" s="341"/>
    </row>
    <row r="23" spans="2:67" ht="58.5" customHeight="1">
      <c r="B23" s="128">
        <v>14</v>
      </c>
      <c r="C23" s="129" t="str">
        <f>'Portafolio P&amp;D'!B28</f>
        <v>ID N°</v>
      </c>
      <c r="D23" s="347" t="str">
        <f>'Portafolio P&amp;D'!C28</f>
        <v>Mejora y ampliación de canales externos para el otorgamiento de préstamos Multired-IVR</v>
      </c>
      <c r="E23" s="338">
        <f>'Portafolio P&amp;D'!D28</f>
        <v>0</v>
      </c>
      <c r="F23" s="340" t="str">
        <f>'Portafolio P&amp;D'!AD28</f>
        <v>03. Implementado</v>
      </c>
      <c r="G23" s="129">
        <f>'Portafolio P&amp;D'!Q28</f>
        <v>2024</v>
      </c>
      <c r="H23" s="129">
        <f>'Portafolio P&amp;D'!R28</f>
        <v>2024</v>
      </c>
      <c r="I23" s="129" t="str">
        <f>'Portafolio P&amp;D'!E28</f>
        <v>Productos e Inclusión Financiera</v>
      </c>
      <c r="J23" s="129" t="str">
        <f>'Portafolio P&amp;D'!F28</f>
        <v>Piero Flores</v>
      </c>
      <c r="K23" s="130">
        <f>'Portafolio P&amp;D'!I28</f>
        <v>0</v>
      </c>
      <c r="L23" s="129" t="str">
        <f>'Portafolio P&amp;D'!O28</f>
        <v>Servicio a los Clientes</v>
      </c>
      <c r="M23" s="129" t="str">
        <f>'Portafolio P&amp;D'!P28</f>
        <v>De cara al ciudadano</v>
      </c>
      <c r="N23" s="128" t="s">
        <v>36</v>
      </c>
      <c r="O23" s="140">
        <v>0.21</v>
      </c>
      <c r="P23" s="140">
        <v>0.24</v>
      </c>
      <c r="Q23" s="140">
        <v>0.43</v>
      </c>
      <c r="R23" s="140">
        <v>0.27</v>
      </c>
      <c r="S23" s="140">
        <v>0.7</v>
      </c>
      <c r="T23" s="140">
        <v>0.44</v>
      </c>
      <c r="U23" s="140">
        <v>0.73</v>
      </c>
      <c r="V23" s="140">
        <v>0.45</v>
      </c>
      <c r="W23" s="140">
        <v>0.67</v>
      </c>
      <c r="X23" s="140">
        <v>0.47</v>
      </c>
      <c r="Y23" s="140">
        <v>0.72</v>
      </c>
      <c r="Z23" s="140">
        <v>0.47</v>
      </c>
      <c r="AA23" s="140">
        <v>0.75</v>
      </c>
      <c r="AB23" s="140">
        <v>0.54</v>
      </c>
      <c r="AC23" s="140">
        <v>0.77</v>
      </c>
      <c r="AD23" s="140">
        <v>0.56000000000000005</v>
      </c>
      <c r="AE23" s="140">
        <v>0.81</v>
      </c>
      <c r="AF23" s="140">
        <v>0.59</v>
      </c>
      <c r="AG23" s="140">
        <v>1</v>
      </c>
      <c r="AH23" s="140">
        <v>1</v>
      </c>
      <c r="AI23" s="140">
        <v>1</v>
      </c>
      <c r="AJ23" s="140">
        <v>1</v>
      </c>
      <c r="AK23" s="140">
        <v>1</v>
      </c>
      <c r="AL23" s="140">
        <v>1</v>
      </c>
      <c r="AM23" s="140">
        <v>1</v>
      </c>
      <c r="AN23" s="140">
        <v>1</v>
      </c>
      <c r="AO23" s="140">
        <v>1</v>
      </c>
      <c r="AP23" s="140">
        <v>1</v>
      </c>
      <c r="AQ23" s="140">
        <v>1</v>
      </c>
      <c r="AR23" s="140">
        <v>1</v>
      </c>
      <c r="AS23" s="140">
        <v>1</v>
      </c>
      <c r="AT23" s="140">
        <v>1</v>
      </c>
      <c r="AU23" s="140">
        <v>1</v>
      </c>
      <c r="AV23" s="140">
        <v>1</v>
      </c>
      <c r="AW23" s="140">
        <v>1</v>
      </c>
      <c r="AX23" s="140">
        <v>1</v>
      </c>
      <c r="AY23" s="140">
        <v>1</v>
      </c>
      <c r="AZ23" s="140">
        <v>1</v>
      </c>
      <c r="BA23" s="140">
        <v>1</v>
      </c>
      <c r="BB23" s="140">
        <v>1</v>
      </c>
      <c r="BC23" s="140">
        <v>1</v>
      </c>
      <c r="BD23" s="140">
        <v>1</v>
      </c>
      <c r="BE23" s="140">
        <v>1</v>
      </c>
      <c r="BF23" s="140">
        <v>1</v>
      </c>
      <c r="BG23" s="140">
        <v>1</v>
      </c>
      <c r="BH23" s="140">
        <v>1</v>
      </c>
      <c r="BI23" s="140">
        <v>1</v>
      </c>
      <c r="BJ23" s="464">
        <v>1</v>
      </c>
      <c r="BK23" s="140">
        <v>1</v>
      </c>
      <c r="BL23" s="464">
        <v>1</v>
      </c>
      <c r="BM23" s="140">
        <v>1</v>
      </c>
      <c r="BN23" s="464">
        <v>1</v>
      </c>
      <c r="BO23" s="143"/>
    </row>
    <row r="24" spans="2:67" ht="66" customHeight="1">
      <c r="B24" s="133">
        <v>15</v>
      </c>
      <c r="C24" s="135" t="str">
        <f>'Portafolio P&amp;D'!B22</f>
        <v>ID N°</v>
      </c>
      <c r="D24" s="134" t="str">
        <f>'Portafolio P&amp;D'!C22</f>
        <v>Centro de Operaciones de Ciberseguridad 1 – Servicio Solución de Seguridad contra Boots</v>
      </c>
      <c r="E24" s="336" t="str">
        <f>'Portafolio P&amp;D'!D22</f>
        <v>Servicio Solución de Seguridad contra Bots</v>
      </c>
      <c r="F24" s="340" t="str">
        <f>'Portafolio P&amp;D'!AD22</f>
        <v>03. Implementado</v>
      </c>
      <c r="G24" s="135">
        <f>'Portafolio P&amp;D'!Q22</f>
        <v>2023</v>
      </c>
      <c r="H24" s="135">
        <f>'Portafolio P&amp;D'!R22</f>
        <v>2024</v>
      </c>
      <c r="I24" s="135" t="str">
        <f>'Portafolio P&amp;D'!E22</f>
        <v>Tecnologías de Información</v>
      </c>
      <c r="J24" s="135" t="str">
        <f>'Portafolio P&amp;D'!F22</f>
        <v>Ana Li</v>
      </c>
      <c r="K24" s="136">
        <f>'Portafolio P&amp;D'!I22</f>
        <v>2007994.2</v>
      </c>
      <c r="L24" s="135" t="str">
        <f>'Portafolio P&amp;D'!O22</f>
        <v>Tecnológica</v>
      </c>
      <c r="M24" s="135" t="str">
        <f>'Portafolio P&amp;D'!P22</f>
        <v>De cara al ciudadano</v>
      </c>
      <c r="N24" s="133" t="s">
        <v>36</v>
      </c>
      <c r="O24" s="137">
        <v>0.56000000000000005</v>
      </c>
      <c r="P24" s="137">
        <v>0.5</v>
      </c>
      <c r="Q24" s="137">
        <v>0.64</v>
      </c>
      <c r="R24" s="137">
        <v>0.42</v>
      </c>
      <c r="S24" s="137">
        <v>0.22</v>
      </c>
      <c r="T24" s="137">
        <v>0.16</v>
      </c>
      <c r="U24" s="137">
        <v>0.54</v>
      </c>
      <c r="V24" s="137">
        <v>1</v>
      </c>
      <c r="W24" s="137">
        <v>0.76</v>
      </c>
      <c r="X24" s="137">
        <v>1</v>
      </c>
      <c r="Y24" s="137">
        <v>1</v>
      </c>
      <c r="Z24" s="137">
        <v>1</v>
      </c>
      <c r="AA24" s="137">
        <v>1</v>
      </c>
      <c r="AB24" s="137">
        <v>1</v>
      </c>
      <c r="AC24" s="137">
        <v>1</v>
      </c>
      <c r="AD24" s="137">
        <v>1</v>
      </c>
      <c r="AE24" s="137">
        <v>1</v>
      </c>
      <c r="AF24" s="137">
        <v>1</v>
      </c>
      <c r="AG24" s="137">
        <v>1</v>
      </c>
      <c r="AH24" s="137">
        <v>1</v>
      </c>
      <c r="AI24" s="137">
        <v>1</v>
      </c>
      <c r="AJ24" s="137">
        <v>1</v>
      </c>
      <c r="AK24" s="137">
        <v>1</v>
      </c>
      <c r="AL24" s="137">
        <v>1</v>
      </c>
      <c r="AM24" s="137">
        <v>1</v>
      </c>
      <c r="AN24" s="137">
        <v>1</v>
      </c>
      <c r="AO24" s="137">
        <v>1</v>
      </c>
      <c r="AP24" s="137">
        <v>1</v>
      </c>
      <c r="AQ24" s="137">
        <v>1</v>
      </c>
      <c r="AR24" s="137">
        <v>1</v>
      </c>
      <c r="AS24" s="137">
        <v>1</v>
      </c>
      <c r="AT24" s="137">
        <v>1</v>
      </c>
      <c r="AU24" s="137">
        <v>1</v>
      </c>
      <c r="AV24" s="137">
        <v>1</v>
      </c>
      <c r="AW24" s="137">
        <v>1</v>
      </c>
      <c r="AX24" s="137">
        <v>1</v>
      </c>
      <c r="AY24" s="137">
        <v>1</v>
      </c>
      <c r="AZ24" s="137">
        <v>1</v>
      </c>
      <c r="BA24" s="137">
        <v>1</v>
      </c>
      <c r="BB24" s="137">
        <v>1</v>
      </c>
      <c r="BC24" s="137">
        <v>1</v>
      </c>
      <c r="BD24" s="137">
        <v>1</v>
      </c>
      <c r="BE24" s="137">
        <v>1</v>
      </c>
      <c r="BF24" s="137">
        <v>1</v>
      </c>
      <c r="BG24" s="137">
        <v>1</v>
      </c>
      <c r="BH24" s="137">
        <v>1</v>
      </c>
      <c r="BI24" s="137">
        <v>1</v>
      </c>
      <c r="BJ24" s="465">
        <v>1</v>
      </c>
      <c r="BK24" s="137">
        <v>1</v>
      </c>
      <c r="BL24" s="465">
        <v>1</v>
      </c>
      <c r="BM24" s="137">
        <v>1</v>
      </c>
      <c r="BN24" s="465">
        <v>1</v>
      </c>
      <c r="BO24" s="469" t="s">
        <v>934</v>
      </c>
    </row>
    <row r="25" spans="2:67" ht="66" customHeight="1">
      <c r="B25" s="128">
        <v>16</v>
      </c>
      <c r="C25" s="129" t="str">
        <f>'Portafolio P&amp;D'!B23</f>
        <v>ID N°</v>
      </c>
      <c r="D25" s="347" t="str">
        <f>'Portafolio P&amp;D'!C23</f>
        <v xml:space="preserve">Centro de Operaciones de Ciberseguridad 2 - Protección avanzada en endpoints y la red del BN </v>
      </c>
      <c r="E25" s="338" t="str">
        <f>'Portafolio P&amp;D'!D23</f>
        <v>Servicio de Solución para la Protección avanzada en End-points y la red del BN</v>
      </c>
      <c r="F25" s="340" t="str">
        <f>'Portafolio P&amp;D'!AD23</f>
        <v>03. Implementado</v>
      </c>
      <c r="G25" s="129">
        <f>'Portafolio P&amp;D'!Q23</f>
        <v>2023</v>
      </c>
      <c r="H25" s="129">
        <f>'Portafolio P&amp;D'!R23</f>
        <v>2024</v>
      </c>
      <c r="I25" s="129" t="str">
        <f>'Portafolio P&amp;D'!E23</f>
        <v>Tecnologías de Información</v>
      </c>
      <c r="J25" s="129" t="str">
        <f>'Portafolio P&amp;D'!F23</f>
        <v>Ana Li</v>
      </c>
      <c r="K25" s="130">
        <f>'Portafolio P&amp;D'!I23</f>
        <v>10992000</v>
      </c>
      <c r="L25" s="129" t="str">
        <f>'Portafolio P&amp;D'!O23</f>
        <v>Tecnológica</v>
      </c>
      <c r="M25" s="129" t="str">
        <f>'Portafolio P&amp;D'!P23</f>
        <v>De cara al ciudadano</v>
      </c>
      <c r="N25" s="128" t="s">
        <v>36</v>
      </c>
      <c r="O25" s="140">
        <v>0.78</v>
      </c>
      <c r="P25" s="140">
        <v>0.73</v>
      </c>
      <c r="Q25" s="140">
        <v>0.85</v>
      </c>
      <c r="R25" s="140">
        <v>0.74</v>
      </c>
      <c r="S25" s="140">
        <v>0.77</v>
      </c>
      <c r="T25" s="140">
        <v>0.48</v>
      </c>
      <c r="U25" s="140">
        <v>0.94</v>
      </c>
      <c r="V25" s="140">
        <v>0.83</v>
      </c>
      <c r="W25" s="140">
        <v>1</v>
      </c>
      <c r="X25" s="140">
        <v>0.86</v>
      </c>
      <c r="Y25" s="140">
        <v>1</v>
      </c>
      <c r="Z25" s="140">
        <v>1</v>
      </c>
      <c r="AA25" s="140">
        <v>1</v>
      </c>
      <c r="AB25" s="140">
        <v>1</v>
      </c>
      <c r="AC25" s="140">
        <v>1</v>
      </c>
      <c r="AD25" s="140">
        <v>1</v>
      </c>
      <c r="AE25" s="140">
        <v>1</v>
      </c>
      <c r="AF25" s="140">
        <v>1</v>
      </c>
      <c r="AG25" s="140">
        <v>1</v>
      </c>
      <c r="AH25" s="140">
        <v>1</v>
      </c>
      <c r="AI25" s="140">
        <v>1</v>
      </c>
      <c r="AJ25" s="140">
        <v>1</v>
      </c>
      <c r="AK25" s="140">
        <v>1</v>
      </c>
      <c r="AL25" s="140">
        <v>1</v>
      </c>
      <c r="AM25" s="140">
        <v>1</v>
      </c>
      <c r="AN25" s="140">
        <v>1</v>
      </c>
      <c r="AO25" s="140">
        <v>1</v>
      </c>
      <c r="AP25" s="140">
        <v>1</v>
      </c>
      <c r="AQ25" s="140">
        <v>1</v>
      </c>
      <c r="AR25" s="140">
        <v>1</v>
      </c>
      <c r="AS25" s="140">
        <v>1</v>
      </c>
      <c r="AT25" s="140">
        <v>1</v>
      </c>
      <c r="AU25" s="140">
        <v>1</v>
      </c>
      <c r="AV25" s="140">
        <v>1</v>
      </c>
      <c r="AW25" s="140">
        <v>1</v>
      </c>
      <c r="AX25" s="140">
        <v>1</v>
      </c>
      <c r="AY25" s="140">
        <v>1</v>
      </c>
      <c r="AZ25" s="140">
        <v>1</v>
      </c>
      <c r="BA25" s="140">
        <v>1</v>
      </c>
      <c r="BB25" s="140">
        <v>1</v>
      </c>
      <c r="BC25" s="140">
        <v>1</v>
      </c>
      <c r="BD25" s="140">
        <v>1</v>
      </c>
      <c r="BE25" s="140">
        <v>1</v>
      </c>
      <c r="BF25" s="140">
        <v>1</v>
      </c>
      <c r="BG25" s="140">
        <v>1</v>
      </c>
      <c r="BH25" s="140">
        <v>1</v>
      </c>
      <c r="BI25" s="140">
        <v>1</v>
      </c>
      <c r="BJ25" s="464">
        <v>1</v>
      </c>
      <c r="BK25" s="140">
        <v>1</v>
      </c>
      <c r="BL25" s="464">
        <v>1</v>
      </c>
      <c r="BM25" s="140">
        <v>1</v>
      </c>
      <c r="BN25" s="464">
        <v>1</v>
      </c>
      <c r="BO25" s="469" t="s">
        <v>935</v>
      </c>
    </row>
    <row r="26" spans="2:67" ht="63.75" customHeight="1">
      <c r="B26" s="133">
        <v>17</v>
      </c>
      <c r="C26" s="135" t="str">
        <f>'Portafolio P&amp;D'!B24</f>
        <v>ID N°</v>
      </c>
      <c r="D26" s="134" t="str">
        <f>'Portafolio P&amp;D'!C24</f>
        <v xml:space="preserve">Centro de Operaciones de Ciberseguridad 3 - Gestión de Vulnerabilidades </v>
      </c>
      <c r="E26" s="336" t="str">
        <f>'Portafolio P&amp;D'!D24</f>
        <v>Gestión de vulnerabilidades y Políticas de FW</v>
      </c>
      <c r="F26" s="340" t="str">
        <f>'Portafolio P&amp;D'!AD24</f>
        <v>03. Implementado</v>
      </c>
      <c r="G26" s="135">
        <f>'Portafolio P&amp;D'!Q24</f>
        <v>2023</v>
      </c>
      <c r="H26" s="135">
        <f>'Portafolio P&amp;D'!R24</f>
        <v>2024</v>
      </c>
      <c r="I26" s="135" t="str">
        <f>'Portafolio P&amp;D'!E24</f>
        <v>Tecnologías de Información</v>
      </c>
      <c r="J26" s="135" t="str">
        <f>'Portafolio P&amp;D'!F24</f>
        <v>Ana Li</v>
      </c>
      <c r="K26" s="136">
        <f>'Portafolio P&amp;D'!I24</f>
        <v>41200</v>
      </c>
      <c r="L26" s="135" t="str">
        <f>'Portafolio P&amp;D'!O24</f>
        <v>Tecnológica</v>
      </c>
      <c r="M26" s="135" t="str">
        <f>'Portafolio P&amp;D'!P24</f>
        <v>De cara al ciudadano</v>
      </c>
      <c r="N26" s="133" t="s">
        <v>36</v>
      </c>
      <c r="O26" s="137">
        <v>0.55000000000000004</v>
      </c>
      <c r="P26" s="137">
        <v>0.22</v>
      </c>
      <c r="Q26" s="137">
        <v>0.69</v>
      </c>
      <c r="R26" s="137">
        <v>0.28000000000000003</v>
      </c>
      <c r="S26" s="137">
        <v>0.45</v>
      </c>
      <c r="T26" s="137">
        <v>0.44</v>
      </c>
      <c r="U26" s="137">
        <v>0.49</v>
      </c>
      <c r="V26" s="137">
        <v>0.45</v>
      </c>
      <c r="W26" s="137">
        <v>0.52</v>
      </c>
      <c r="X26" s="137">
        <v>0.46</v>
      </c>
      <c r="Y26" s="137">
        <v>0.56000000000000005</v>
      </c>
      <c r="Z26" s="137">
        <v>0.48</v>
      </c>
      <c r="AA26" s="137">
        <v>0.63</v>
      </c>
      <c r="AB26" s="137">
        <v>0.5</v>
      </c>
      <c r="AC26" s="137">
        <v>0.69</v>
      </c>
      <c r="AD26" s="137">
        <v>0.51</v>
      </c>
      <c r="AE26" s="137">
        <v>0.76</v>
      </c>
      <c r="AF26" s="137">
        <v>0.68</v>
      </c>
      <c r="AG26" s="137">
        <v>0.85</v>
      </c>
      <c r="AH26" s="137">
        <v>0.61</v>
      </c>
      <c r="AI26" s="137">
        <v>0.88</v>
      </c>
      <c r="AJ26" s="137">
        <v>0.75</v>
      </c>
      <c r="AK26" s="137">
        <v>1</v>
      </c>
      <c r="AL26" s="137">
        <v>1</v>
      </c>
      <c r="AM26" s="137">
        <v>1</v>
      </c>
      <c r="AN26" s="137">
        <v>1</v>
      </c>
      <c r="AO26" s="137">
        <v>1</v>
      </c>
      <c r="AP26" s="137">
        <v>1</v>
      </c>
      <c r="AQ26" s="137">
        <v>1</v>
      </c>
      <c r="AR26" s="137">
        <v>1</v>
      </c>
      <c r="AS26" s="137">
        <v>1</v>
      </c>
      <c r="AT26" s="137">
        <v>1</v>
      </c>
      <c r="AU26" s="137">
        <v>1</v>
      </c>
      <c r="AV26" s="137">
        <v>1</v>
      </c>
      <c r="AW26" s="137">
        <v>1</v>
      </c>
      <c r="AX26" s="137">
        <v>1</v>
      </c>
      <c r="AY26" s="137">
        <v>1</v>
      </c>
      <c r="AZ26" s="137">
        <v>1</v>
      </c>
      <c r="BA26" s="137">
        <v>1</v>
      </c>
      <c r="BB26" s="137">
        <v>1</v>
      </c>
      <c r="BC26" s="137">
        <v>1</v>
      </c>
      <c r="BD26" s="137">
        <v>1</v>
      </c>
      <c r="BE26" s="137">
        <v>1</v>
      </c>
      <c r="BF26" s="137">
        <v>1</v>
      </c>
      <c r="BG26" s="137">
        <v>1</v>
      </c>
      <c r="BH26" s="137">
        <v>1</v>
      </c>
      <c r="BI26" s="137">
        <v>1</v>
      </c>
      <c r="BJ26" s="465">
        <v>1</v>
      </c>
      <c r="BK26" s="137">
        <v>1</v>
      </c>
      <c r="BL26" s="465">
        <v>1</v>
      </c>
      <c r="BM26" s="137">
        <v>1</v>
      </c>
      <c r="BN26" s="465">
        <v>1</v>
      </c>
      <c r="BO26" s="469" t="s">
        <v>936</v>
      </c>
    </row>
    <row r="27" spans="2:67" ht="45.75" customHeight="1">
      <c r="B27" s="128">
        <v>18</v>
      </c>
      <c r="C27" s="129" t="str">
        <f>'Portafolio P&amp;D'!B25</f>
        <v>ID N°</v>
      </c>
      <c r="D27" s="347" t="str">
        <f>'Portafolio P&amp;D'!C25</f>
        <v xml:space="preserve">Centro de Operaciones de Ciberseguridad 4 - Gestión de Correlación de Eventos </v>
      </c>
      <c r="E27" s="338" t="str">
        <f>'Portafolio P&amp;D'!D25</f>
        <v>Gestión de correlación de eventos</v>
      </c>
      <c r="F27" s="340" t="str">
        <f>'Portafolio P&amp;D'!AD25</f>
        <v>03. Implementado</v>
      </c>
      <c r="G27" s="129">
        <f>'Portafolio P&amp;D'!Q25</f>
        <v>2023</v>
      </c>
      <c r="H27" s="129">
        <f>'Portafolio P&amp;D'!R25</f>
        <v>2024</v>
      </c>
      <c r="I27" s="129" t="str">
        <f>'Portafolio P&amp;D'!E25</f>
        <v>Tecnologías de Información</v>
      </c>
      <c r="J27" s="129" t="str">
        <f>'Portafolio P&amp;D'!F25</f>
        <v>Ana Li</v>
      </c>
      <c r="K27" s="130">
        <f>'Portafolio P&amp;D'!I25</f>
        <v>40900</v>
      </c>
      <c r="L27" s="129" t="str">
        <f>'Portafolio P&amp;D'!O25</f>
        <v>Tecnológica</v>
      </c>
      <c r="M27" s="129" t="str">
        <f>'Portafolio P&amp;D'!P25</f>
        <v>De cara al ciudadano</v>
      </c>
      <c r="N27" s="128" t="s">
        <v>36</v>
      </c>
      <c r="O27" s="140">
        <v>0.04</v>
      </c>
      <c r="P27" s="140">
        <v>0.01</v>
      </c>
      <c r="Q27" s="140">
        <v>7.0000000000000007E-2</v>
      </c>
      <c r="R27" s="140">
        <v>0.01</v>
      </c>
      <c r="S27" s="140">
        <v>1</v>
      </c>
      <c r="T27" s="140">
        <v>1</v>
      </c>
      <c r="U27" s="140">
        <v>1</v>
      </c>
      <c r="V27" s="140">
        <v>1</v>
      </c>
      <c r="W27" s="140">
        <v>1</v>
      </c>
      <c r="X27" s="140">
        <v>1</v>
      </c>
      <c r="Y27" s="140">
        <v>1</v>
      </c>
      <c r="Z27" s="140">
        <v>1</v>
      </c>
      <c r="AA27" s="140">
        <v>1</v>
      </c>
      <c r="AB27" s="140">
        <v>1</v>
      </c>
      <c r="AC27" s="140">
        <v>1</v>
      </c>
      <c r="AD27" s="140">
        <v>1</v>
      </c>
      <c r="AE27" s="140">
        <v>1</v>
      </c>
      <c r="AF27" s="140">
        <v>1</v>
      </c>
      <c r="AG27" s="140">
        <v>1</v>
      </c>
      <c r="AH27" s="140">
        <v>1</v>
      </c>
      <c r="AI27" s="140">
        <v>1</v>
      </c>
      <c r="AJ27" s="140">
        <v>1</v>
      </c>
      <c r="AK27" s="140">
        <v>1</v>
      </c>
      <c r="AL27" s="140">
        <v>1</v>
      </c>
      <c r="AM27" s="140">
        <v>1</v>
      </c>
      <c r="AN27" s="140">
        <v>1</v>
      </c>
      <c r="AO27" s="140">
        <v>1</v>
      </c>
      <c r="AP27" s="140">
        <v>1</v>
      </c>
      <c r="AQ27" s="140">
        <v>1</v>
      </c>
      <c r="AR27" s="140">
        <v>1</v>
      </c>
      <c r="AS27" s="140">
        <v>1</v>
      </c>
      <c r="AT27" s="140">
        <v>1</v>
      </c>
      <c r="AU27" s="140">
        <v>1</v>
      </c>
      <c r="AV27" s="140">
        <v>1</v>
      </c>
      <c r="AW27" s="140">
        <v>1</v>
      </c>
      <c r="AX27" s="140">
        <v>1</v>
      </c>
      <c r="AY27" s="140">
        <v>1</v>
      </c>
      <c r="AZ27" s="140">
        <v>1</v>
      </c>
      <c r="BA27" s="140">
        <v>1</v>
      </c>
      <c r="BB27" s="140">
        <v>1</v>
      </c>
      <c r="BC27" s="140">
        <v>1</v>
      </c>
      <c r="BD27" s="140">
        <v>1</v>
      </c>
      <c r="BE27" s="140">
        <v>1</v>
      </c>
      <c r="BF27" s="140">
        <v>1</v>
      </c>
      <c r="BG27" s="140">
        <v>1</v>
      </c>
      <c r="BH27" s="140">
        <v>1</v>
      </c>
      <c r="BI27" s="140">
        <v>1</v>
      </c>
      <c r="BJ27" s="464">
        <v>1</v>
      </c>
      <c r="BK27" s="140">
        <v>1</v>
      </c>
      <c r="BL27" s="464">
        <v>1</v>
      </c>
      <c r="BM27" s="140">
        <v>1</v>
      </c>
      <c r="BN27" s="464">
        <v>1</v>
      </c>
      <c r="BO27" s="469" t="s">
        <v>937</v>
      </c>
    </row>
    <row r="28" spans="2:67" ht="132.75" customHeight="1">
      <c r="B28" s="133">
        <v>19</v>
      </c>
      <c r="C28" s="135" t="str">
        <f>'Portafolio P&amp;D'!B32</f>
        <v>PROIGD-EO08-23-32</v>
      </c>
      <c r="D28" s="134" t="str">
        <f>'Portafolio P&amp;D'!C32</f>
        <v>Implementación de Gobierno de Datos</v>
      </c>
      <c r="E28" s="336" t="str">
        <f>'Portafolio P&amp;D'!D32</f>
        <v>Debido a que el BN no cuenta con un programa de gobierno de datos que integre políticas, procesos, prácticas y tecnologías diseñadas para asegurar la calidad, integridad, disponibilidad y seguridad de los datos es que se crea el proyecto, para garantizar el acceso y uso adecuado de los datos</v>
      </c>
      <c r="F28" s="134" t="str">
        <f>'Portafolio P&amp;D'!AD32</f>
        <v>04. Cerrado</v>
      </c>
      <c r="G28" s="135">
        <f>'Portafolio P&amp;D'!Q32</f>
        <v>2023</v>
      </c>
      <c r="H28" s="135">
        <f>'Portafolio P&amp;D'!R32</f>
        <v>2026</v>
      </c>
      <c r="I28" s="135" t="str">
        <f>'Portafolio P&amp;D'!E32</f>
        <v>GIT</v>
      </c>
      <c r="J28" s="135" t="str">
        <f>'Portafolio P&amp;D'!F32</f>
        <v>Juan Berrospi</v>
      </c>
      <c r="K28" s="136" t="str">
        <f>'Portafolio P&amp;D'!I32</f>
        <v>Recursos Propios</v>
      </c>
      <c r="L28" s="135" t="str">
        <f>'Portafolio P&amp;D'!O32</f>
        <v>Estrategia y Gobernanza</v>
      </c>
      <c r="M28" s="135" t="str">
        <f>'Portafolio P&amp;D'!P32</f>
        <v>Gestión Interna</v>
      </c>
      <c r="N28" s="133" t="s">
        <v>36</v>
      </c>
      <c r="O28" s="137">
        <v>0.03</v>
      </c>
      <c r="P28" s="137">
        <v>0.02</v>
      </c>
      <c r="Q28" s="137">
        <v>0.05</v>
      </c>
      <c r="R28" s="137">
        <v>0.08</v>
      </c>
      <c r="S28" s="137">
        <v>0.12</v>
      </c>
      <c r="T28" s="137">
        <v>0.13</v>
      </c>
      <c r="U28" s="137">
        <v>0.17</v>
      </c>
      <c r="V28" s="137">
        <v>0.18</v>
      </c>
      <c r="W28" s="137">
        <v>0.21</v>
      </c>
      <c r="X28" s="137">
        <v>0.19</v>
      </c>
      <c r="Y28" s="137">
        <v>0.25</v>
      </c>
      <c r="Z28" s="137">
        <v>0.25</v>
      </c>
      <c r="AA28" s="137">
        <v>0.28999999999999998</v>
      </c>
      <c r="AB28" s="137">
        <v>0.34</v>
      </c>
      <c r="AC28" s="137">
        <v>0.33</v>
      </c>
      <c r="AD28" s="137">
        <v>0.37</v>
      </c>
      <c r="AE28" s="137">
        <v>0.37</v>
      </c>
      <c r="AF28" s="137">
        <v>0.43</v>
      </c>
      <c r="AG28" s="137">
        <v>0.43</v>
      </c>
      <c r="AH28" s="137">
        <v>0.49</v>
      </c>
      <c r="AI28" s="137">
        <v>0.49</v>
      </c>
      <c r="AJ28" s="137">
        <v>0.54</v>
      </c>
      <c r="AK28" s="137">
        <v>0.54</v>
      </c>
      <c r="AL28" s="137">
        <v>0.56000000000000005</v>
      </c>
      <c r="AM28" s="137">
        <v>0.57999999999999996</v>
      </c>
      <c r="AN28" s="137">
        <v>0.59</v>
      </c>
      <c r="AO28" s="137">
        <v>0.6</v>
      </c>
      <c r="AP28" s="137">
        <v>0.62</v>
      </c>
      <c r="AQ28" s="137">
        <v>0.63</v>
      </c>
      <c r="AR28" s="137">
        <v>0.67</v>
      </c>
      <c r="AS28" s="137">
        <v>0.66</v>
      </c>
      <c r="AT28" s="137">
        <v>0.69</v>
      </c>
      <c r="AU28" s="137">
        <v>0.69</v>
      </c>
      <c r="AV28" s="137">
        <v>0.72</v>
      </c>
      <c r="AW28" s="137">
        <v>0.72</v>
      </c>
      <c r="AX28" s="137">
        <v>0.74</v>
      </c>
      <c r="AY28" s="137">
        <v>0.74</v>
      </c>
      <c r="AZ28" s="137">
        <v>0.77</v>
      </c>
      <c r="BA28" s="137">
        <v>0.77</v>
      </c>
      <c r="BB28" s="137">
        <v>0.8</v>
      </c>
      <c r="BC28" s="137">
        <v>0.8</v>
      </c>
      <c r="BD28" s="137">
        <v>0.82</v>
      </c>
      <c r="BE28" s="137">
        <v>0.82</v>
      </c>
      <c r="BF28" s="137">
        <v>0.85</v>
      </c>
      <c r="BG28" s="137">
        <v>0.85</v>
      </c>
      <c r="BH28" s="137">
        <v>0.88</v>
      </c>
      <c r="BI28" s="137">
        <v>0.88</v>
      </c>
      <c r="BJ28" s="465">
        <v>0.91</v>
      </c>
      <c r="BK28" s="137">
        <v>0.86</v>
      </c>
      <c r="BL28" s="465">
        <v>0.93</v>
      </c>
      <c r="BM28" s="465">
        <v>0.87</v>
      </c>
      <c r="BN28" s="465">
        <v>0.93</v>
      </c>
      <c r="BO28" s="138" t="s">
        <v>938</v>
      </c>
    </row>
    <row r="29" spans="2:67" ht="62.25" customHeight="1">
      <c r="B29" s="128">
        <v>20</v>
      </c>
      <c r="C29" s="129" t="str">
        <f>'Portafolio P&amp;D'!B33</f>
        <v>PROTAIT-EO10-24-36</v>
      </c>
      <c r="D29" s="139" t="str">
        <f>'Portafolio P&amp;D'!C33</f>
        <v>Traslado y Alojamiento de Infraestructura Tecnológica del actual Centro de datos de respaldo BN - San Isidro</v>
      </c>
      <c r="E29" s="337" t="str">
        <f>'Portafolio P&amp;D'!D33</f>
        <v>Traslado (Moving) de la infraestructura tecnológica del actual Centro de Datos de Respaldo BN (San isidro) — ubicado en el 3er Piso de la Sede del Tribunal Constitucional San Isidro — a una nueva ubicación, fuera de las instalaciones del BN, para el atojamiento (Housing) de la infraestructura tecnológica, en ambientes de un proveedor de servicios que cuente mínimamente con Certificación TIER III o Rated 3 0 ICREA Nivel IV y que este ubicado en un edificio inteligente moderno con altas capacidades de resiliencia y arquitectura antisismicas</v>
      </c>
      <c r="F29" s="339" t="str">
        <f>'Portafolio P&amp;D'!AD33</f>
        <v>04. Cerrado</v>
      </c>
      <c r="G29" s="129">
        <f>'Portafolio P&amp;D'!Q33</f>
        <v>2024</v>
      </c>
      <c r="H29" s="129">
        <f>'Portafolio P&amp;D'!R33</f>
        <v>2025</v>
      </c>
      <c r="I29" s="129" t="str">
        <f>'Portafolio P&amp;D'!E33</f>
        <v>Tecnologías de Información</v>
      </c>
      <c r="J29" s="129" t="str">
        <f>'Portafolio P&amp;D'!F33</f>
        <v>Alejandro Sifuentes</v>
      </c>
      <c r="K29" s="130">
        <f>'Portafolio P&amp;D'!I33</f>
        <v>0</v>
      </c>
      <c r="L29" s="129" t="str">
        <f>'Portafolio P&amp;D'!O33</f>
        <v>Tecnológica</v>
      </c>
      <c r="M29" s="129" t="str">
        <f>'Portafolio P&amp;D'!P33</f>
        <v>Gestión Interna</v>
      </c>
      <c r="N29" s="128" t="s">
        <v>36</v>
      </c>
      <c r="O29" s="128" t="s">
        <v>36</v>
      </c>
      <c r="P29" s="128" t="s">
        <v>36</v>
      </c>
      <c r="Q29" s="128" t="s">
        <v>36</v>
      </c>
      <c r="R29" s="128" t="s">
        <v>36</v>
      </c>
      <c r="S29" s="140">
        <v>0.06</v>
      </c>
      <c r="T29" s="140">
        <v>0.06</v>
      </c>
      <c r="U29" s="140">
        <v>0.1</v>
      </c>
      <c r="V29" s="140">
        <v>0.1</v>
      </c>
      <c r="W29" s="140">
        <v>0.14000000000000001</v>
      </c>
      <c r="X29" s="140">
        <v>0.12</v>
      </c>
      <c r="Y29" s="140">
        <v>0.26</v>
      </c>
      <c r="Z29" s="140">
        <v>0.13</v>
      </c>
      <c r="AA29" s="140">
        <v>0.3</v>
      </c>
      <c r="AB29" s="140">
        <v>0.14000000000000001</v>
      </c>
      <c r="AC29" s="140">
        <v>0.33</v>
      </c>
      <c r="AD29" s="140">
        <v>0.14000000000000001</v>
      </c>
      <c r="AE29" s="140">
        <v>0.37</v>
      </c>
      <c r="AF29" s="140">
        <v>0.14000000000000001</v>
      </c>
      <c r="AG29" s="140">
        <v>0.4</v>
      </c>
      <c r="AH29" s="140">
        <v>0.16</v>
      </c>
      <c r="AI29" s="140">
        <v>0.43</v>
      </c>
      <c r="AJ29" s="140">
        <v>0.22</v>
      </c>
      <c r="AK29" s="140">
        <v>0.24</v>
      </c>
      <c r="AL29" s="140">
        <v>0.26</v>
      </c>
      <c r="AM29" s="140">
        <v>0.49</v>
      </c>
      <c r="AN29" s="140">
        <v>0.26</v>
      </c>
      <c r="AO29" s="140">
        <v>0.54</v>
      </c>
      <c r="AP29" s="140">
        <v>0.26</v>
      </c>
      <c r="AQ29" s="140">
        <v>0.64</v>
      </c>
      <c r="AR29" s="140">
        <v>0.26</v>
      </c>
      <c r="AS29" s="140">
        <v>1</v>
      </c>
      <c r="AT29" s="140">
        <v>1</v>
      </c>
      <c r="AU29" s="140">
        <v>1</v>
      </c>
      <c r="AV29" s="140">
        <v>1</v>
      </c>
      <c r="AW29" s="140">
        <v>0.98</v>
      </c>
      <c r="AX29" s="140">
        <v>0.26</v>
      </c>
      <c r="AY29" s="140" t="s">
        <v>36</v>
      </c>
      <c r="AZ29" s="140" t="s">
        <v>36</v>
      </c>
      <c r="BA29" s="140" t="s">
        <v>36</v>
      </c>
      <c r="BB29" s="140" t="s">
        <v>36</v>
      </c>
      <c r="BC29" s="140" t="s">
        <v>36</v>
      </c>
      <c r="BD29" s="140" t="s">
        <v>36</v>
      </c>
      <c r="BE29" s="140" t="s">
        <v>36</v>
      </c>
      <c r="BF29" s="140" t="s">
        <v>36</v>
      </c>
      <c r="BG29" s="140" t="s">
        <v>36</v>
      </c>
      <c r="BH29" s="140" t="s">
        <v>36</v>
      </c>
      <c r="BI29" s="140" t="s">
        <v>36</v>
      </c>
      <c r="BJ29" s="464" t="s">
        <v>36</v>
      </c>
      <c r="BK29" s="140" t="s">
        <v>36</v>
      </c>
      <c r="BL29" s="464" t="s">
        <v>36</v>
      </c>
      <c r="BM29" s="140" t="s">
        <v>36</v>
      </c>
      <c r="BN29" s="464" t="s">
        <v>36</v>
      </c>
      <c r="BO29" s="470" t="s">
        <v>939</v>
      </c>
    </row>
    <row r="30" spans="2:67" ht="30.75" customHeight="1">
      <c r="B30" s="133"/>
      <c r="C30" s="135" t="str">
        <f>'Portafolio P&amp;D'!B30</f>
        <v>ID N°</v>
      </c>
      <c r="D30" s="134" t="str">
        <f>'Portafolio P&amp;D'!C30</f>
        <v>Plan de Transfomación Cultural BN</v>
      </c>
      <c r="E30" s="336" t="str">
        <f>'Portafolio P&amp;D'!D30</f>
        <v>Crear las condiciones necesarias para fomentar un cambio de mentalidad y comportamiento en todos los niveles de la organización, promoviendo una cultura de colaboración, flexibilidad, adaptabilidad y aprendizaje constante. Se implementarán iniciativas como programas de capacitación, comunicación interna, establecimiento de espacios de trabajo colaborativos y promoción de la participación activa de los empleados en la identificación y ejecución de mejoras.</v>
      </c>
      <c r="F30" s="339" t="str">
        <f>'Portafolio P&amp;D'!AD30</f>
        <v>04. Cerrado</v>
      </c>
      <c r="G30" s="135">
        <f>'Portafolio P&amp;D'!Q30</f>
        <v>2023</v>
      </c>
      <c r="H30" s="135">
        <f>'Portafolio P&amp;D'!R30</f>
        <v>2025</v>
      </c>
      <c r="I30" s="135" t="str">
        <f>'Portafolio P&amp;D'!E30</f>
        <v>Recursos Humanos y Cultura</v>
      </c>
      <c r="J30" s="135">
        <f>'Portafolio P&amp;D'!F30</f>
        <v>0</v>
      </c>
      <c r="K30" s="136">
        <f>'Portafolio P&amp;D'!I30</f>
        <v>985176</v>
      </c>
      <c r="L30" s="135" t="str">
        <f>'Portafolio P&amp;D'!O30</f>
        <v>Personas y Cultura Organizacional</v>
      </c>
      <c r="M30" s="135" t="str">
        <f>'Portafolio P&amp;D'!P30</f>
        <v>Gestión Interna</v>
      </c>
      <c r="N30" s="342" t="s">
        <v>940</v>
      </c>
      <c r="O30" s="343">
        <v>0.57999999999999996</v>
      </c>
      <c r="P30" s="343">
        <v>0.72</v>
      </c>
      <c r="Q30" s="343">
        <v>0.61</v>
      </c>
      <c r="R30" s="343">
        <v>0.76</v>
      </c>
      <c r="S30" s="343">
        <v>0.87</v>
      </c>
      <c r="T30" s="343">
        <v>0.89</v>
      </c>
      <c r="U30" s="343">
        <v>0.89</v>
      </c>
      <c r="V30" s="343">
        <v>0.89</v>
      </c>
      <c r="W30" s="343">
        <v>0.91</v>
      </c>
      <c r="X30" s="343">
        <v>0.73</v>
      </c>
      <c r="Y30" s="343">
        <v>0.92</v>
      </c>
      <c r="Z30" s="343">
        <v>0.84</v>
      </c>
      <c r="AA30" s="343">
        <v>0.93</v>
      </c>
      <c r="AB30" s="343">
        <v>0.71</v>
      </c>
      <c r="AC30" s="343">
        <v>0.94</v>
      </c>
      <c r="AD30" s="343">
        <v>0.74</v>
      </c>
      <c r="AE30" s="343">
        <v>0.96</v>
      </c>
      <c r="AF30" s="343">
        <v>0.74</v>
      </c>
      <c r="AG30" s="343">
        <v>0.98</v>
      </c>
      <c r="AH30" s="343">
        <v>0.74</v>
      </c>
      <c r="AI30" s="342" t="s">
        <v>940</v>
      </c>
      <c r="AJ30" s="342" t="s">
        <v>940</v>
      </c>
      <c r="AK30" s="343">
        <v>1</v>
      </c>
      <c r="AL30" s="343">
        <v>1</v>
      </c>
      <c r="AM30" s="343">
        <v>1</v>
      </c>
      <c r="AN30" s="343">
        <v>1</v>
      </c>
      <c r="AO30" s="343">
        <v>1</v>
      </c>
      <c r="AP30" s="343">
        <v>1</v>
      </c>
      <c r="AQ30" s="344" t="s">
        <v>36</v>
      </c>
      <c r="AR30" s="344" t="s">
        <v>36</v>
      </c>
      <c r="AS30" s="344" t="s">
        <v>36</v>
      </c>
      <c r="AT30" s="344" t="s">
        <v>36</v>
      </c>
      <c r="AU30" s="344" t="s">
        <v>36</v>
      </c>
      <c r="AV30" s="344" t="s">
        <v>36</v>
      </c>
      <c r="AW30" s="344" t="s">
        <v>36</v>
      </c>
      <c r="AX30" s="344" t="s">
        <v>36</v>
      </c>
      <c r="AY30" s="344" t="s">
        <v>36</v>
      </c>
      <c r="AZ30" s="344" t="s">
        <v>36</v>
      </c>
      <c r="BA30" s="344" t="s">
        <v>36</v>
      </c>
      <c r="BB30" s="344" t="s">
        <v>36</v>
      </c>
      <c r="BC30" s="344" t="s">
        <v>36</v>
      </c>
      <c r="BD30" s="344" t="s">
        <v>36</v>
      </c>
      <c r="BE30" s="344" t="s">
        <v>36</v>
      </c>
      <c r="BF30" s="344" t="s">
        <v>36</v>
      </c>
      <c r="BG30" s="344" t="s">
        <v>36</v>
      </c>
      <c r="BH30" s="344" t="s">
        <v>36</v>
      </c>
      <c r="BI30" s="344" t="s">
        <v>36</v>
      </c>
      <c r="BJ30" s="345" t="s">
        <v>36</v>
      </c>
      <c r="BK30" s="345" t="s">
        <v>36</v>
      </c>
      <c r="BL30" s="345" t="s">
        <v>36</v>
      </c>
      <c r="BM30" s="345" t="s">
        <v>36</v>
      </c>
      <c r="BN30" s="345" t="s">
        <v>36</v>
      </c>
      <c r="BO30" s="346"/>
    </row>
    <row r="31" spans="2:67" ht="67.5">
      <c r="B31" s="128">
        <v>21</v>
      </c>
      <c r="C31" s="129" t="str">
        <f>'Portafolio P&amp;D'!B37</f>
        <v>PROCDBN-EO05-37</v>
      </c>
      <c r="D31" s="139" t="str">
        <f>'Portafolio P&amp;D'!C37</f>
        <v>Cuenta Digital BN</v>
      </c>
      <c r="E31" s="337" t="str">
        <f>'Portafolio P&amp;D'!D37</f>
        <v>La Cuenta Digital BN cumplirá la misma función y objeto de la Cuenta DNI, la única diferencia será el soporte tecnológico, de esta manera, se tendrá un control y monitoreo efectivo de la plataforma que soportará la Cuenta DNI.</v>
      </c>
      <c r="F31" s="139" t="str">
        <f>'Portafolio P&amp;D'!AD37</f>
        <v>02. En Curso</v>
      </c>
      <c r="G31" s="129">
        <f>'Portafolio P&amp;D'!Q37</f>
        <v>2024</v>
      </c>
      <c r="H31" s="129">
        <f>'Portafolio P&amp;D'!R37</f>
        <v>2025</v>
      </c>
      <c r="I31" s="129" t="str">
        <f>'Portafolio P&amp;D'!E37</f>
        <v>Banca Digital</v>
      </c>
      <c r="J31" s="129" t="str">
        <f>'Portafolio P&amp;D'!F37</f>
        <v>Luis Palacios</v>
      </c>
      <c r="K31" s="130">
        <f>'Portafolio P&amp;D'!I37</f>
        <v>0</v>
      </c>
      <c r="L31" s="129">
        <f>'Portafolio P&amp;D'!O37</f>
        <v>0</v>
      </c>
      <c r="M31" s="129">
        <f>'Portafolio P&amp;D'!P37</f>
        <v>0</v>
      </c>
      <c r="N31" s="128" t="s">
        <v>36</v>
      </c>
      <c r="O31" s="128" t="s">
        <v>36</v>
      </c>
      <c r="P31" s="128" t="s">
        <v>36</v>
      </c>
      <c r="Q31" s="128" t="s">
        <v>36</v>
      </c>
      <c r="R31" s="128" t="s">
        <v>36</v>
      </c>
      <c r="S31" s="128" t="s">
        <v>36</v>
      </c>
      <c r="T31" s="128" t="s">
        <v>36</v>
      </c>
      <c r="U31" s="128" t="s">
        <v>36</v>
      </c>
      <c r="V31" s="128" t="s">
        <v>36</v>
      </c>
      <c r="W31" s="128" t="s">
        <v>36</v>
      </c>
      <c r="X31" s="128" t="s">
        <v>36</v>
      </c>
      <c r="Y31" s="128" t="s">
        <v>36</v>
      </c>
      <c r="Z31" s="128" t="s">
        <v>36</v>
      </c>
      <c r="AA31" s="128" t="s">
        <v>36</v>
      </c>
      <c r="AB31" s="128" t="s">
        <v>36</v>
      </c>
      <c r="AC31" s="128" t="s">
        <v>36</v>
      </c>
      <c r="AD31" s="128" t="s">
        <v>36</v>
      </c>
      <c r="AE31" s="128" t="s">
        <v>36</v>
      </c>
      <c r="AF31" s="128" t="s">
        <v>36</v>
      </c>
      <c r="AG31" s="128" t="s">
        <v>36</v>
      </c>
      <c r="AH31" s="128" t="s">
        <v>36</v>
      </c>
      <c r="AI31" s="128" t="s">
        <v>36</v>
      </c>
      <c r="AJ31" s="128" t="s">
        <v>36</v>
      </c>
      <c r="AK31" s="128" t="s">
        <v>36</v>
      </c>
      <c r="AL31" s="128" t="s">
        <v>36</v>
      </c>
      <c r="AM31" s="140">
        <v>0.22</v>
      </c>
      <c r="AN31" s="140">
        <v>0.19</v>
      </c>
      <c r="AO31" s="140">
        <v>0.32</v>
      </c>
      <c r="AP31" s="140">
        <v>0.27</v>
      </c>
      <c r="AQ31" s="140">
        <v>0.48</v>
      </c>
      <c r="AR31" s="140">
        <v>0.42</v>
      </c>
      <c r="AS31" s="140">
        <v>0.56000000000000005</v>
      </c>
      <c r="AT31" s="140">
        <v>0.52</v>
      </c>
      <c r="AU31" s="140">
        <v>0.66</v>
      </c>
      <c r="AV31" s="140">
        <v>0.62</v>
      </c>
      <c r="AW31" s="140">
        <v>0.75</v>
      </c>
      <c r="AX31" s="140">
        <v>0.68</v>
      </c>
      <c r="AY31" s="140">
        <v>0.76</v>
      </c>
      <c r="AZ31" s="140">
        <v>0.7</v>
      </c>
      <c r="BA31" s="140">
        <v>0.83</v>
      </c>
      <c r="BB31" s="140">
        <v>0.76</v>
      </c>
      <c r="BC31" s="140">
        <v>0.96</v>
      </c>
      <c r="BD31" s="140">
        <v>0.81</v>
      </c>
      <c r="BE31" s="140">
        <v>0.97</v>
      </c>
      <c r="BF31" s="140">
        <v>0.81</v>
      </c>
      <c r="BG31" s="140">
        <v>0.94</v>
      </c>
      <c r="BH31" s="140">
        <v>0.88</v>
      </c>
      <c r="BI31" s="140">
        <v>1</v>
      </c>
      <c r="BJ31" s="464">
        <v>0.98</v>
      </c>
      <c r="BK31" s="140">
        <v>1</v>
      </c>
      <c r="BL31" s="464">
        <v>1</v>
      </c>
      <c r="BM31" s="464">
        <v>1</v>
      </c>
      <c r="BN31" s="464">
        <v>1</v>
      </c>
      <c r="BO31" s="489" t="s">
        <v>941</v>
      </c>
    </row>
    <row r="32" spans="2:67" ht="34.5" customHeight="1">
      <c r="B32" s="133">
        <v>22</v>
      </c>
      <c r="C32" s="135" t="str">
        <f>'Portafolio P&amp;D'!B34</f>
        <v>PROTTES-EO04-24-34</v>
      </c>
      <c r="D32" s="134" t="str">
        <f>'Portafolio P&amp;D'!C34</f>
        <v>Tarjeta Tesoro</v>
      </c>
      <c r="E32" s="336" t="str">
        <f>'Portafolio P&amp;D'!D34</f>
        <v>Implementar el producto "Tarjeta Tesoro" en el Banco de la Nación, bajo la marca Mastercard, dirigido a satisfacer la necesidad de las Entidades Públicas de contar con un medio de pago, eficiente en la administración y control, fácil y seguro de usar expeditivo en la distribución y de óptimo costo de operación, con la finalidad de reemplazar el uso del dinero en efectivo en la asignación de viáticos por comisión de servicio, comisiones por encargo y de caja chica, que actualmente se le otorga a lo colaboradores públicos cuando así se requiere. Adicionalmente, la Tarjeta de Tesoro también permite satisfacer los requerimientos para compras menores, compras por intemet y abastecimiento de combustible.</v>
      </c>
      <c r="F32" s="134" t="str">
        <f>'Portafolio P&amp;D'!AD34</f>
        <v>04. Cerrado</v>
      </c>
      <c r="G32" s="135">
        <f>'Portafolio P&amp;D'!Q34</f>
        <v>2024</v>
      </c>
      <c r="H32" s="135">
        <f>'Portafolio P&amp;D'!R34</f>
        <v>2025</v>
      </c>
      <c r="I32" s="135" t="str">
        <f>'Portafolio P&amp;D'!E34</f>
        <v>Productos e Inclusión Financiera</v>
      </c>
      <c r="J32" s="135" t="str">
        <f>'Portafolio P&amp;D'!F34</f>
        <v>Cecilia Arias</v>
      </c>
      <c r="K32" s="136">
        <f>'Portafolio P&amp;D'!I34</f>
        <v>0</v>
      </c>
      <c r="L32" s="135" t="str">
        <f>'Portafolio P&amp;D'!O34</f>
        <v>Por asignar</v>
      </c>
      <c r="M32" s="135" t="str">
        <f>'Portafolio P&amp;D'!P34</f>
        <v>Por asignar</v>
      </c>
      <c r="N32" s="133" t="s">
        <v>36</v>
      </c>
      <c r="O32" s="133" t="s">
        <v>36</v>
      </c>
      <c r="P32" s="133" t="s">
        <v>36</v>
      </c>
      <c r="Q32" s="133" t="s">
        <v>36</v>
      </c>
      <c r="R32" s="133" t="s">
        <v>36</v>
      </c>
      <c r="S32" s="133" t="s">
        <v>36</v>
      </c>
      <c r="T32" s="133" t="s">
        <v>36</v>
      </c>
      <c r="U32" s="133" t="s">
        <v>36</v>
      </c>
      <c r="V32" s="133" t="s">
        <v>36</v>
      </c>
      <c r="W32" s="133" t="s">
        <v>36</v>
      </c>
      <c r="X32" s="133" t="s">
        <v>36</v>
      </c>
      <c r="Y32" s="133" t="s">
        <v>36</v>
      </c>
      <c r="Z32" s="133" t="s">
        <v>36</v>
      </c>
      <c r="AA32" s="133" t="s">
        <v>36</v>
      </c>
      <c r="AB32" s="133" t="s">
        <v>36</v>
      </c>
      <c r="AC32" s="133" t="s">
        <v>36</v>
      </c>
      <c r="AD32" s="133" t="s">
        <v>36</v>
      </c>
      <c r="AE32" s="133" t="s">
        <v>36</v>
      </c>
      <c r="AF32" s="133" t="s">
        <v>36</v>
      </c>
      <c r="AG32" s="133" t="s">
        <v>36</v>
      </c>
      <c r="AH32" s="133" t="s">
        <v>36</v>
      </c>
      <c r="AI32" s="133" t="s">
        <v>36</v>
      </c>
      <c r="AJ32" s="133" t="s">
        <v>36</v>
      </c>
      <c r="AK32" s="133" t="s">
        <v>36</v>
      </c>
      <c r="AL32" s="133" t="s">
        <v>36</v>
      </c>
      <c r="AM32" s="137">
        <v>0.87</v>
      </c>
      <c r="AN32" s="137">
        <v>0.87</v>
      </c>
      <c r="AO32" s="137">
        <v>0.89</v>
      </c>
      <c r="AP32" s="137">
        <v>0.89</v>
      </c>
      <c r="AQ32" s="137">
        <v>0.98</v>
      </c>
      <c r="AR32" s="137">
        <v>0.94</v>
      </c>
      <c r="AS32" s="137">
        <v>1</v>
      </c>
      <c r="AT32" s="137">
        <v>0.95</v>
      </c>
      <c r="AU32" s="137">
        <v>1</v>
      </c>
      <c r="AV32" s="137">
        <v>0.95</v>
      </c>
      <c r="AW32" s="137">
        <v>1</v>
      </c>
      <c r="AX32" s="137">
        <v>0.98</v>
      </c>
      <c r="AY32" s="137">
        <v>1</v>
      </c>
      <c r="AZ32" s="137">
        <v>0.98</v>
      </c>
      <c r="BA32" s="137">
        <v>1</v>
      </c>
      <c r="BB32" s="137">
        <v>0.98</v>
      </c>
      <c r="BC32" s="137">
        <v>1</v>
      </c>
      <c r="BD32" s="137">
        <v>0.98</v>
      </c>
      <c r="BE32" s="137">
        <v>1</v>
      </c>
      <c r="BF32" s="137">
        <v>0.98</v>
      </c>
      <c r="BG32" s="137">
        <v>0.8</v>
      </c>
      <c r="BH32" s="137">
        <v>0.77</v>
      </c>
      <c r="BI32" s="137">
        <v>0.82</v>
      </c>
      <c r="BJ32" s="465">
        <v>0.77</v>
      </c>
      <c r="BK32" s="137">
        <v>0.82</v>
      </c>
      <c r="BL32" s="465">
        <v>0.79</v>
      </c>
      <c r="BM32" s="465">
        <v>0.86</v>
      </c>
      <c r="BN32" s="465">
        <v>0.84</v>
      </c>
      <c r="BO32" s="138" t="s">
        <v>942</v>
      </c>
    </row>
    <row r="33" spans="2:67" ht="108">
      <c r="B33" s="128">
        <v>23</v>
      </c>
      <c r="C33" s="129" t="str">
        <f>'Portafolio P&amp;D'!B36</f>
        <v>PROSPOPEMSS-OE08-25-38</v>
      </c>
      <c r="D33" s="139" t="str">
        <f>'Portafolio P&amp;D'!C36</f>
        <v>Solución del procesamiento de operaciones de pagaduría del Estado MEF-SIAF Y SUNAT</v>
      </c>
      <c r="E33" s="337" t="str">
        <f>'Portafolio P&amp;D'!D36</f>
        <v>El Banco de la Nación requiere una solución integral de software en modalidad On Premise y que además se reutilicen algunos componentes con que ya cuenta actualmente el Banco, encontrándonos en la capacidad de mejorar y ampliar la capacidad de procesamiento de lotes con órdenes de transferencias provenientes del sistema SIAF / MEF</v>
      </c>
      <c r="F33" s="139" t="str">
        <f>'Portafolio P&amp;D'!AD36</f>
        <v>02. En Curso</v>
      </c>
      <c r="G33" s="129">
        <f>'Portafolio P&amp;D'!Q36</f>
        <v>2024</v>
      </c>
      <c r="H33" s="129">
        <f>'Portafolio P&amp;D'!R36</f>
        <v>2026</v>
      </c>
      <c r="I33" s="129" t="str">
        <f>'Portafolio P&amp;D'!E36</f>
        <v>Operaciones</v>
      </c>
      <c r="J33" s="129" t="str">
        <f>'Portafolio P&amp;D'!F36</f>
        <v>María Luisa Guevara</v>
      </c>
      <c r="K33" s="130">
        <f>'Portafolio P&amp;D'!I36</f>
        <v>2815186.06</v>
      </c>
      <c r="L33" s="129" t="str">
        <f>'Portafolio P&amp;D'!O36</f>
        <v>Por asignar</v>
      </c>
      <c r="M33" s="129" t="str">
        <f>'Portafolio P&amp;D'!P36</f>
        <v>Por asignar</v>
      </c>
      <c r="N33" s="128" t="s">
        <v>36</v>
      </c>
      <c r="O33" s="128" t="s">
        <v>36</v>
      </c>
      <c r="P33" s="128" t="s">
        <v>36</v>
      </c>
      <c r="Q33" s="128" t="s">
        <v>36</v>
      </c>
      <c r="R33" s="128" t="s">
        <v>36</v>
      </c>
      <c r="S33" s="128" t="s">
        <v>36</v>
      </c>
      <c r="T33" s="128" t="s">
        <v>36</v>
      </c>
      <c r="U33" s="128" t="s">
        <v>36</v>
      </c>
      <c r="V33" s="128" t="s">
        <v>36</v>
      </c>
      <c r="W33" s="128" t="s">
        <v>36</v>
      </c>
      <c r="X33" s="128" t="s">
        <v>36</v>
      </c>
      <c r="Y33" s="128" t="s">
        <v>36</v>
      </c>
      <c r="Z33" s="128" t="s">
        <v>36</v>
      </c>
      <c r="AA33" s="128" t="s">
        <v>36</v>
      </c>
      <c r="AB33" s="128" t="s">
        <v>36</v>
      </c>
      <c r="AC33" s="128" t="s">
        <v>36</v>
      </c>
      <c r="AD33" s="128" t="s">
        <v>36</v>
      </c>
      <c r="AE33" s="128" t="s">
        <v>36</v>
      </c>
      <c r="AF33" s="128" t="s">
        <v>36</v>
      </c>
      <c r="AG33" s="128" t="s">
        <v>36</v>
      </c>
      <c r="AH33" s="128" t="s">
        <v>36</v>
      </c>
      <c r="AI33" s="128" t="s">
        <v>36</v>
      </c>
      <c r="AJ33" s="128" t="s">
        <v>36</v>
      </c>
      <c r="AK33" s="128" t="s">
        <v>36</v>
      </c>
      <c r="AL33" s="128" t="s">
        <v>36</v>
      </c>
      <c r="AM33" s="140" t="s">
        <v>36</v>
      </c>
      <c r="AN33" s="140" t="s">
        <v>36</v>
      </c>
      <c r="AO33" s="140" t="s">
        <v>36</v>
      </c>
      <c r="AP33" s="140" t="s">
        <v>36</v>
      </c>
      <c r="AQ33" s="140">
        <v>0.37</v>
      </c>
      <c r="AR33" s="140">
        <v>0.34</v>
      </c>
      <c r="AS33" s="140">
        <v>0.43</v>
      </c>
      <c r="AT33" s="140">
        <v>0.44</v>
      </c>
      <c r="AU33" s="140">
        <v>0.5</v>
      </c>
      <c r="AV33" s="140">
        <v>0.46</v>
      </c>
      <c r="AW33" s="140">
        <v>0.52</v>
      </c>
      <c r="AX33" s="140">
        <v>0.49</v>
      </c>
      <c r="AY33" s="140">
        <v>0.61</v>
      </c>
      <c r="AZ33" s="140">
        <v>0.5</v>
      </c>
      <c r="BA33" s="140">
        <v>0.7</v>
      </c>
      <c r="BB33" s="140">
        <v>0.5</v>
      </c>
      <c r="BC33" s="140">
        <v>0.74</v>
      </c>
      <c r="BD33" s="140">
        <v>0.51</v>
      </c>
      <c r="BE33" s="140">
        <v>0.78</v>
      </c>
      <c r="BF33" s="140">
        <v>0.51</v>
      </c>
      <c r="BG33" s="140">
        <v>0.56999999999999995</v>
      </c>
      <c r="BH33" s="140">
        <v>0.6</v>
      </c>
      <c r="BI33" s="140">
        <v>0.63</v>
      </c>
      <c r="BJ33" s="464">
        <v>0.61</v>
      </c>
      <c r="BK33" s="140">
        <v>0.83</v>
      </c>
      <c r="BL33" s="464">
        <v>0.67</v>
      </c>
      <c r="BM33" s="464">
        <v>0.53</v>
      </c>
      <c r="BN33" s="464">
        <v>0.53</v>
      </c>
      <c r="BO33" s="146" t="s">
        <v>943</v>
      </c>
    </row>
    <row r="34" spans="2:67" ht="111" customHeight="1">
      <c r="B34" s="133">
        <v>24</v>
      </c>
      <c r="C34" s="135" t="str">
        <f>'Portafolio P&amp;D'!B40</f>
        <v>PROBEFC-EO06-25-40</v>
      </c>
      <c r="D34" s="134" t="str">
        <f>'Portafolio P&amp;D'!C40</f>
        <v>Banca Empresarial - Fase IV</v>
      </c>
      <c r="E34" s="336" t="str">
        <f>'Portafolio P&amp;D'!D40</f>
        <v>Banca Empresarial es una plataforma transaccional diseñada para optimizar la gestión financiera de nuestros clientes titulares de Cuentas Corrientes del sector público y privado. A través de una interfaz segura y eficiente, la solución permite realizar operaciones bancarias sin necesidad de acudir a nuestras agencias, alineándose con la estrategia organizacional de digitalización y modernización de servicios financieros.</v>
      </c>
      <c r="F34" s="339" t="str">
        <f>'Portafolio P&amp;D'!AD40</f>
        <v>04. Cerrado</v>
      </c>
      <c r="G34" s="135">
        <f>'Portafolio P&amp;D'!Q40</f>
        <v>2025</v>
      </c>
      <c r="H34" s="135">
        <f>'Portafolio P&amp;D'!R40</f>
        <v>2025</v>
      </c>
      <c r="I34" s="135" t="str">
        <f>'Portafolio P&amp;D'!E40</f>
        <v>Operaciones</v>
      </c>
      <c r="J34" s="135" t="str">
        <f>'Portafolio P&amp;D'!F40</f>
        <v>María Luisa Guevara</v>
      </c>
      <c r="K34" s="136">
        <f>'Portafolio P&amp;D'!I40</f>
        <v>0</v>
      </c>
      <c r="L34" s="135" t="str">
        <f>'Portafolio P&amp;D'!O40</f>
        <v>Procesos Digitales</v>
      </c>
      <c r="M34" s="135" t="str">
        <f>'Portafolio P&amp;D'!P40</f>
        <v>De cara al ciudadano</v>
      </c>
      <c r="N34" s="133" t="s">
        <v>36</v>
      </c>
      <c r="O34" s="133" t="s">
        <v>36</v>
      </c>
      <c r="P34" s="133" t="s">
        <v>36</v>
      </c>
      <c r="Q34" s="133" t="s">
        <v>36</v>
      </c>
      <c r="R34" s="133" t="s">
        <v>36</v>
      </c>
      <c r="S34" s="133" t="s">
        <v>36</v>
      </c>
      <c r="T34" s="133" t="s">
        <v>36</v>
      </c>
      <c r="U34" s="133" t="s">
        <v>36</v>
      </c>
      <c r="V34" s="133" t="s">
        <v>36</v>
      </c>
      <c r="W34" s="133" t="s">
        <v>36</v>
      </c>
      <c r="X34" s="133" t="s">
        <v>36</v>
      </c>
      <c r="Y34" s="133" t="s">
        <v>36</v>
      </c>
      <c r="Z34" s="133" t="s">
        <v>36</v>
      </c>
      <c r="AA34" s="133" t="s">
        <v>36</v>
      </c>
      <c r="AB34" s="133" t="s">
        <v>36</v>
      </c>
      <c r="AC34" s="133" t="s">
        <v>36</v>
      </c>
      <c r="AD34" s="133" t="s">
        <v>36</v>
      </c>
      <c r="AE34" s="133" t="s">
        <v>36</v>
      </c>
      <c r="AF34" s="133" t="s">
        <v>36</v>
      </c>
      <c r="AG34" s="133" t="s">
        <v>36</v>
      </c>
      <c r="AH34" s="133" t="s">
        <v>36</v>
      </c>
      <c r="AI34" s="133" t="s">
        <v>36</v>
      </c>
      <c r="AJ34" s="133" t="s">
        <v>36</v>
      </c>
      <c r="AK34" s="133" t="s">
        <v>36</v>
      </c>
      <c r="AL34" s="133" t="s">
        <v>36</v>
      </c>
      <c r="AM34" s="137" t="s">
        <v>36</v>
      </c>
      <c r="AN34" s="137" t="s">
        <v>36</v>
      </c>
      <c r="AO34" s="137" t="s">
        <v>36</v>
      </c>
      <c r="AP34" s="137" t="s">
        <v>36</v>
      </c>
      <c r="AQ34" s="137" t="s">
        <v>36</v>
      </c>
      <c r="AR34" s="137" t="s">
        <v>36</v>
      </c>
      <c r="AS34" s="137" t="s">
        <v>36</v>
      </c>
      <c r="AT34" s="137" t="s">
        <v>36</v>
      </c>
      <c r="AU34" s="137" t="s">
        <v>36</v>
      </c>
      <c r="AV34" s="137" t="s">
        <v>36</v>
      </c>
      <c r="AW34" s="137">
        <v>0.24</v>
      </c>
      <c r="AX34" s="137">
        <v>0.26</v>
      </c>
      <c r="AY34" s="137">
        <v>0.37</v>
      </c>
      <c r="AZ34" s="137">
        <v>0.42</v>
      </c>
      <c r="BA34" s="137">
        <v>0.45</v>
      </c>
      <c r="BB34" s="137">
        <v>0.45</v>
      </c>
      <c r="BC34" s="137">
        <v>0.49</v>
      </c>
      <c r="BD34" s="137">
        <v>0.45</v>
      </c>
      <c r="BE34" s="137">
        <v>0.57999999999999996</v>
      </c>
      <c r="BF34" s="137">
        <v>0.45</v>
      </c>
      <c r="BG34" s="137" t="s">
        <v>36</v>
      </c>
      <c r="BH34" s="137" t="s">
        <v>36</v>
      </c>
      <c r="BI34" s="137" t="s">
        <v>36</v>
      </c>
      <c r="BJ34" s="465" t="s">
        <v>36</v>
      </c>
      <c r="BK34" s="465" t="s">
        <v>36</v>
      </c>
      <c r="BL34" s="465" t="s">
        <v>36</v>
      </c>
      <c r="BM34" s="465" t="s">
        <v>36</v>
      </c>
      <c r="BN34" s="465" t="s">
        <v>36</v>
      </c>
      <c r="BO34" s="454" t="s">
        <v>944</v>
      </c>
    </row>
    <row r="35" spans="2:67" ht="55.5" customHeight="1">
      <c r="B35" s="128">
        <v>25</v>
      </c>
      <c r="C35" s="129" t="str">
        <f>'Portafolio P&amp;D'!B38</f>
        <v>PROASAHEH-EO10-25-41</v>
      </c>
      <c r="D35" s="139" t="str">
        <f>'Portafolio P&amp;D'!C38</f>
        <v>Adquisición del Sistema de Almacenamiento y Eq. Brocade (High-End Hitachi)</v>
      </c>
      <c r="E35" s="337" t="str">
        <f>'Portafolio P&amp;D'!D38</f>
        <v>Adquisición de Solución de Sistema de Almacenamiento High End Hitachi y Director Brocade o equivalente para los tres centros de datos del Banco de la Nación, esta adquisición incluye 3 Storage High End Hitachi o equivalente (una por cada centro de cómputo) y 4 directores brocade o equivalente para la red SAN (dos por cada centro de cómputo de Lima), estos equipos brindarán soporte a los servicios productivos críticos para el BN y permitirá replicación de tipo Tri-Datacenter, es decir podremos contar con la información procesada en los Storage High End Hitachi o equivalente de los servicios productivos principales del Banco replicados a través de los tres centros de cómputo</v>
      </c>
      <c r="F35" s="142" t="str">
        <f>'Portafolio P&amp;D'!AD38</f>
        <v>03. Implementado</v>
      </c>
      <c r="G35" s="129">
        <f>'Portafolio P&amp;D'!Q38</f>
        <v>2023</v>
      </c>
      <c r="H35" s="129">
        <f>'Portafolio P&amp;D'!R38</f>
        <v>2025</v>
      </c>
      <c r="I35" s="129" t="str">
        <f>'Portafolio P&amp;D'!E38</f>
        <v>Tecnologías de Información</v>
      </c>
      <c r="J35" s="129" t="str">
        <f>'Portafolio P&amp;D'!F38</f>
        <v>Alejandro Sifuentes</v>
      </c>
      <c r="K35" s="130">
        <f>'Portafolio P&amp;D'!I38</f>
        <v>18108799</v>
      </c>
      <c r="L35" s="129" t="str">
        <f>'Portafolio P&amp;D'!O38</f>
        <v>Tecnológica</v>
      </c>
      <c r="M35" s="129" t="str">
        <f>'Portafolio P&amp;D'!P38</f>
        <v>De cara al ciudadano</v>
      </c>
      <c r="N35" s="128" t="s">
        <v>36</v>
      </c>
      <c r="O35" s="128" t="s">
        <v>36</v>
      </c>
      <c r="P35" s="128" t="s">
        <v>36</v>
      </c>
      <c r="Q35" s="128" t="s">
        <v>36</v>
      </c>
      <c r="R35" s="128" t="s">
        <v>36</v>
      </c>
      <c r="S35" s="128" t="s">
        <v>36</v>
      </c>
      <c r="T35" s="128" t="s">
        <v>36</v>
      </c>
      <c r="U35" s="128" t="s">
        <v>36</v>
      </c>
      <c r="V35" s="128" t="s">
        <v>36</v>
      </c>
      <c r="W35" s="128" t="s">
        <v>36</v>
      </c>
      <c r="X35" s="128" t="s">
        <v>36</v>
      </c>
      <c r="Y35" s="128" t="s">
        <v>36</v>
      </c>
      <c r="Z35" s="128" t="s">
        <v>36</v>
      </c>
      <c r="AA35" s="128" t="s">
        <v>36</v>
      </c>
      <c r="AB35" s="128" t="s">
        <v>36</v>
      </c>
      <c r="AC35" s="128" t="s">
        <v>36</v>
      </c>
      <c r="AD35" s="128" t="s">
        <v>36</v>
      </c>
      <c r="AE35" s="128" t="s">
        <v>36</v>
      </c>
      <c r="AF35" s="128" t="s">
        <v>36</v>
      </c>
      <c r="AG35" s="128" t="s">
        <v>36</v>
      </c>
      <c r="AH35" s="128" t="s">
        <v>36</v>
      </c>
      <c r="AI35" s="128" t="s">
        <v>36</v>
      </c>
      <c r="AJ35" s="128" t="s">
        <v>36</v>
      </c>
      <c r="AK35" s="128" t="s">
        <v>36</v>
      </c>
      <c r="AL35" s="128" t="s">
        <v>36</v>
      </c>
      <c r="AM35" s="140" t="s">
        <v>36</v>
      </c>
      <c r="AN35" s="140" t="s">
        <v>36</v>
      </c>
      <c r="AO35" s="140" t="s">
        <v>36</v>
      </c>
      <c r="AP35" s="140" t="s">
        <v>36</v>
      </c>
      <c r="AQ35" s="140" t="s">
        <v>36</v>
      </c>
      <c r="AR35" s="140" t="s">
        <v>36</v>
      </c>
      <c r="AS35" s="140">
        <v>0.65</v>
      </c>
      <c r="AT35" s="140">
        <v>0.65</v>
      </c>
      <c r="AU35" s="140">
        <v>0.71</v>
      </c>
      <c r="AV35" s="140">
        <v>0.73</v>
      </c>
      <c r="AW35" s="140">
        <v>0.82</v>
      </c>
      <c r="AX35" s="140">
        <v>0.84</v>
      </c>
      <c r="AY35" s="140">
        <v>0.91</v>
      </c>
      <c r="AZ35" s="140">
        <v>0.89</v>
      </c>
      <c r="BA35" s="140">
        <v>0.99</v>
      </c>
      <c r="BB35" s="140">
        <v>0.99</v>
      </c>
      <c r="BC35" s="140">
        <v>1</v>
      </c>
      <c r="BD35" s="140">
        <v>1</v>
      </c>
      <c r="BE35" s="140">
        <v>1</v>
      </c>
      <c r="BF35" s="140">
        <v>1</v>
      </c>
      <c r="BG35" s="140">
        <v>1</v>
      </c>
      <c r="BH35" s="140">
        <v>1</v>
      </c>
      <c r="BI35" s="140">
        <v>1</v>
      </c>
      <c r="BJ35" s="464">
        <v>1</v>
      </c>
      <c r="BK35" s="140">
        <v>1</v>
      </c>
      <c r="BL35" s="464">
        <v>1</v>
      </c>
      <c r="BM35" s="140">
        <v>1</v>
      </c>
      <c r="BN35" s="464">
        <v>1</v>
      </c>
      <c r="BO35" s="146" t="s">
        <v>945</v>
      </c>
    </row>
    <row r="36" spans="2:67" ht="64.5" customHeight="1">
      <c r="B36" s="133">
        <v>26</v>
      </c>
      <c r="C36" s="135" t="str">
        <f>'Portafolio P&amp;D'!B8</f>
        <v>PRONCR-EO05-23-5</v>
      </c>
      <c r="D36" s="134" t="str">
        <f>'Portafolio P&amp;D'!C8</f>
        <v>Pruebas de concepto Cajeros Automáticos Depositarios</v>
      </c>
      <c r="E36" s="336" t="str">
        <f>'Portafolio P&amp;D'!D8</f>
        <v>La implementacion de los cajeros automaticos para deposito y retiro como prueba de concepto, busca brindar a los clientes una alternativa para que puedan realizar retiros y depositos en horarios distintos al de las agencias logrando de esta manera promover una cultura de autoservicio y una gestion eficeinte del canal</v>
      </c>
      <c r="F36" s="134" t="str">
        <f>'Portafolio P&amp;D'!AD8</f>
        <v>02. En Curso</v>
      </c>
      <c r="G36" s="135">
        <f>'Portafolio P&amp;D'!Q8</f>
        <v>2023</v>
      </c>
      <c r="H36" s="135">
        <f>'Portafolio P&amp;D'!R8</f>
        <v>2026</v>
      </c>
      <c r="I36" s="135" t="str">
        <f>'Portafolio P&amp;D'!E8</f>
        <v>Banca Digital</v>
      </c>
      <c r="J36" s="135" t="str">
        <f>'Portafolio P&amp;D'!F8</f>
        <v>Diego Marcelo</v>
      </c>
      <c r="K36" s="136">
        <f>'Portafolio P&amp;D'!I8</f>
        <v>866957</v>
      </c>
      <c r="L36" s="135" t="str">
        <f>'Portafolio P&amp;D'!O8</f>
        <v>Servicio a los Clientes</v>
      </c>
      <c r="M36" s="135" t="str">
        <f>'Portafolio P&amp;D'!P8</f>
        <v>De cara al ciudadano</v>
      </c>
      <c r="N36" s="133" t="s">
        <v>36</v>
      </c>
      <c r="O36" s="133" t="s">
        <v>36</v>
      </c>
      <c r="P36" s="133" t="s">
        <v>36</v>
      </c>
      <c r="Q36" s="133" t="s">
        <v>36</v>
      </c>
      <c r="R36" s="133" t="s">
        <v>36</v>
      </c>
      <c r="S36" s="133" t="s">
        <v>36</v>
      </c>
      <c r="T36" s="133" t="s">
        <v>36</v>
      </c>
      <c r="U36" s="133" t="s">
        <v>36</v>
      </c>
      <c r="V36" s="133" t="s">
        <v>36</v>
      </c>
      <c r="W36" s="133" t="s">
        <v>36</v>
      </c>
      <c r="X36" s="133" t="s">
        <v>36</v>
      </c>
      <c r="Y36" s="133" t="s">
        <v>36</v>
      </c>
      <c r="Z36" s="133" t="s">
        <v>36</v>
      </c>
      <c r="AA36" s="133" t="s">
        <v>36</v>
      </c>
      <c r="AB36" s="133" t="s">
        <v>36</v>
      </c>
      <c r="AC36" s="133" t="s">
        <v>36</v>
      </c>
      <c r="AD36" s="133" t="s">
        <v>36</v>
      </c>
      <c r="AE36" s="133" t="s">
        <v>36</v>
      </c>
      <c r="AF36" s="133" t="s">
        <v>36</v>
      </c>
      <c r="AG36" s="133" t="s">
        <v>36</v>
      </c>
      <c r="AH36" s="133" t="s">
        <v>36</v>
      </c>
      <c r="AI36" s="133" t="s">
        <v>36</v>
      </c>
      <c r="AJ36" s="133" t="s">
        <v>36</v>
      </c>
      <c r="AK36" s="133" t="s">
        <v>36</v>
      </c>
      <c r="AL36" s="133" t="s">
        <v>36</v>
      </c>
      <c r="AM36" s="137" t="s">
        <v>36</v>
      </c>
      <c r="AN36" s="137" t="s">
        <v>36</v>
      </c>
      <c r="AO36" s="137" t="s">
        <v>36</v>
      </c>
      <c r="AP36" s="137" t="s">
        <v>36</v>
      </c>
      <c r="AQ36" s="137" t="s">
        <v>36</v>
      </c>
      <c r="AR36" s="137" t="s">
        <v>36</v>
      </c>
      <c r="AS36" s="137" t="s">
        <v>36</v>
      </c>
      <c r="AT36" s="137" t="s">
        <v>36</v>
      </c>
      <c r="AU36" s="137" t="s">
        <v>36</v>
      </c>
      <c r="AV36" s="137" t="s">
        <v>36</v>
      </c>
      <c r="AW36" s="137">
        <v>0.38</v>
      </c>
      <c r="AX36" s="137">
        <v>0.38</v>
      </c>
      <c r="AY36" s="137">
        <v>0.39</v>
      </c>
      <c r="AZ36" s="137">
        <v>0.39</v>
      </c>
      <c r="BA36" s="137">
        <v>0.44</v>
      </c>
      <c r="BB36" s="137">
        <v>0.44</v>
      </c>
      <c r="BC36" s="137">
        <v>0.47</v>
      </c>
      <c r="BD36" s="137">
        <v>0.45</v>
      </c>
      <c r="BE36" s="137">
        <v>0.5</v>
      </c>
      <c r="BF36" s="137">
        <v>0.5</v>
      </c>
      <c r="BG36" s="137">
        <v>0.48</v>
      </c>
      <c r="BH36" s="137">
        <v>0.47</v>
      </c>
      <c r="BI36" s="137">
        <v>0.49</v>
      </c>
      <c r="BJ36" s="465">
        <v>0.48</v>
      </c>
      <c r="BK36" s="137">
        <v>0.82</v>
      </c>
      <c r="BL36" s="465">
        <v>0.8</v>
      </c>
      <c r="BM36" s="465">
        <v>0.85</v>
      </c>
      <c r="BN36" s="465">
        <v>0.82</v>
      </c>
      <c r="BO36" s="138" t="s">
        <v>946</v>
      </c>
    </row>
    <row r="37" spans="2:67">
      <c r="D37" s="64"/>
      <c r="J37" s="64"/>
      <c r="K37" s="66"/>
      <c r="L37" s="64"/>
      <c r="M37" s="64"/>
    </row>
    <row r="38" spans="2:67">
      <c r="D38" s="64"/>
      <c r="J38" s="64"/>
      <c r="K38" s="66"/>
      <c r="L38" s="64"/>
      <c r="M38" s="64"/>
    </row>
    <row r="39" spans="2:67">
      <c r="D39" s="64"/>
      <c r="J39" s="64"/>
      <c r="K39" s="66"/>
      <c r="L39" s="64"/>
      <c r="M39" s="64"/>
    </row>
    <row r="40" spans="2:67">
      <c r="D40" s="64"/>
      <c r="J40" s="64"/>
      <c r="K40" s="66"/>
      <c r="L40" s="64"/>
      <c r="M40" s="64"/>
    </row>
  </sheetData>
  <autoFilter ref="B3:BO36" xr:uid="{00000000-0009-0000-0000-00000B000000}"/>
  <mergeCells count="26">
    <mergeCell ref="AO2:AP2"/>
    <mergeCell ref="BA2:BB2"/>
    <mergeCell ref="BC2:BD2"/>
    <mergeCell ref="BE2:BF2"/>
    <mergeCell ref="BG2:BH2"/>
    <mergeCell ref="AQ2:AR2"/>
    <mergeCell ref="AS2:AT2"/>
    <mergeCell ref="AU2:AV2"/>
    <mergeCell ref="AW2:AX2"/>
    <mergeCell ref="AY2:AZ2"/>
    <mergeCell ref="BM2:BN2"/>
    <mergeCell ref="BK2:BL2"/>
    <mergeCell ref="AK2:AL2"/>
    <mergeCell ref="O2:P2"/>
    <mergeCell ref="Q2:R2"/>
    <mergeCell ref="S2:T2"/>
    <mergeCell ref="U2:V2"/>
    <mergeCell ref="W2:X2"/>
    <mergeCell ref="Y2:Z2"/>
    <mergeCell ref="AA2:AB2"/>
    <mergeCell ref="AC2:AD2"/>
    <mergeCell ref="AE2:AF2"/>
    <mergeCell ref="AG2:AH2"/>
    <mergeCell ref="AI2:AJ2"/>
    <mergeCell ref="BI2:BJ2"/>
    <mergeCell ref="AM2:AN2"/>
  </mergeCells>
  <pageMargins left="0.25" right="0.25" top="0.75" bottom="0.75" header="0.3" footer="0.3"/>
  <pageSetup paperSize="9" scale="1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8714-3E1D-4D98-B840-5E841201F022}">
  <sheetPr>
    <tabColor rgb="FFDB7676"/>
  </sheetPr>
  <dimension ref="A1:L82"/>
  <sheetViews>
    <sheetView workbookViewId="0"/>
  </sheetViews>
  <sheetFormatPr defaultColWidth="9.140625" defaultRowHeight="15"/>
  <cols>
    <col min="1" max="1" width="30.5703125" style="410" bestFit="1" customWidth="1"/>
    <col min="2" max="2" width="0" style="10" hidden="1" customWidth="1"/>
    <col min="3" max="3" width="29.140625" style="10" hidden="1" customWidth="1"/>
    <col min="4" max="4" width="22.7109375" style="10" hidden="1" customWidth="1"/>
    <col min="5" max="5" width="33.42578125" style="10" hidden="1" customWidth="1"/>
    <col min="6" max="6" width="23.140625" style="10" hidden="1" customWidth="1"/>
    <col min="7" max="7" width="47.42578125" style="412" customWidth="1"/>
    <col min="8" max="8" width="22" style="357" customWidth="1"/>
    <col min="9" max="9" width="19" style="25" customWidth="1"/>
    <col min="10" max="10" width="18.85546875" hidden="1" customWidth="1"/>
    <col min="11" max="11" width="15.140625" hidden="1" customWidth="1"/>
    <col min="12" max="12" width="40.7109375" style="324" customWidth="1"/>
  </cols>
  <sheetData>
    <row r="1" spans="1:12">
      <c r="A1" s="397" t="s">
        <v>947</v>
      </c>
      <c r="B1" s="349" t="s">
        <v>0</v>
      </c>
      <c r="C1" s="349" t="s">
        <v>948</v>
      </c>
      <c r="D1" s="349" t="s">
        <v>949</v>
      </c>
      <c r="E1" s="352" t="s">
        <v>950</v>
      </c>
      <c r="F1" s="349" t="s">
        <v>951</v>
      </c>
      <c r="G1" s="355" t="s">
        <v>952</v>
      </c>
      <c r="H1" s="355" t="s">
        <v>953</v>
      </c>
      <c r="I1" s="359" t="s">
        <v>954</v>
      </c>
      <c r="J1" s="348" t="s">
        <v>955</v>
      </c>
      <c r="K1" s="348" t="s">
        <v>956</v>
      </c>
      <c r="L1" s="360" t="s">
        <v>29</v>
      </c>
    </row>
    <row r="2" spans="1:12" ht="30">
      <c r="A2" s="398" t="s">
        <v>87</v>
      </c>
      <c r="B2" s="350">
        <v>3</v>
      </c>
      <c r="C2" s="350" t="s">
        <v>83</v>
      </c>
      <c r="D2" s="350" t="s">
        <v>86</v>
      </c>
      <c r="E2" s="350" t="s">
        <v>88</v>
      </c>
      <c r="F2" s="353">
        <v>45901</v>
      </c>
      <c r="G2" s="411" t="s">
        <v>957</v>
      </c>
      <c r="H2" s="363" t="s">
        <v>958</v>
      </c>
      <c r="I2" s="364">
        <v>45960</v>
      </c>
      <c r="J2" s="365"/>
      <c r="K2" s="365"/>
      <c r="L2" s="366" t="s">
        <v>959</v>
      </c>
    </row>
    <row r="3" spans="1:12">
      <c r="A3" s="398" t="s">
        <v>87</v>
      </c>
      <c r="B3" s="351">
        <v>4</v>
      </c>
      <c r="C3" s="351" t="s">
        <v>83</v>
      </c>
      <c r="D3" s="351" t="s">
        <v>86</v>
      </c>
      <c r="E3" s="351" t="s">
        <v>88</v>
      </c>
      <c r="F3" s="354">
        <v>45901</v>
      </c>
      <c r="G3" s="411" t="s">
        <v>960</v>
      </c>
      <c r="H3" s="416" t="s">
        <v>961</v>
      </c>
      <c r="I3" s="364">
        <v>45960</v>
      </c>
      <c r="J3" s="365"/>
      <c r="K3" s="365"/>
      <c r="L3" s="366" t="s">
        <v>962</v>
      </c>
    </row>
    <row r="4" spans="1:12" ht="30">
      <c r="A4" s="398" t="s">
        <v>87</v>
      </c>
      <c r="B4" s="350">
        <v>7</v>
      </c>
      <c r="C4" s="350" t="s">
        <v>83</v>
      </c>
      <c r="D4" s="350" t="s">
        <v>86</v>
      </c>
      <c r="E4" s="350" t="s">
        <v>88</v>
      </c>
      <c r="F4" s="353">
        <v>45901</v>
      </c>
      <c r="G4" s="411" t="s">
        <v>963</v>
      </c>
      <c r="H4" s="363" t="s">
        <v>637</v>
      </c>
      <c r="I4" s="364">
        <v>45960</v>
      </c>
      <c r="J4" s="365"/>
      <c r="K4" s="365"/>
      <c r="L4" s="366" t="s">
        <v>962</v>
      </c>
    </row>
    <row r="5" spans="1:12" ht="30">
      <c r="A5" s="398" t="s">
        <v>87</v>
      </c>
      <c r="B5" s="351">
        <v>8</v>
      </c>
      <c r="C5" s="351" t="s">
        <v>83</v>
      </c>
      <c r="D5" s="351" t="s">
        <v>86</v>
      </c>
      <c r="E5" s="351" t="s">
        <v>88</v>
      </c>
      <c r="F5" s="354">
        <v>45901</v>
      </c>
      <c r="G5" s="411" t="s">
        <v>964</v>
      </c>
      <c r="H5" s="416" t="s">
        <v>637</v>
      </c>
      <c r="I5" s="364">
        <v>45960</v>
      </c>
      <c r="J5" s="365"/>
      <c r="K5" s="365"/>
      <c r="L5" s="366" t="s">
        <v>962</v>
      </c>
    </row>
    <row r="6" spans="1:12" ht="30">
      <c r="A6" s="398" t="s">
        <v>87</v>
      </c>
      <c r="B6" s="350">
        <v>9</v>
      </c>
      <c r="C6" s="350" t="s">
        <v>83</v>
      </c>
      <c r="D6" s="350" t="s">
        <v>86</v>
      </c>
      <c r="E6" s="350" t="s">
        <v>88</v>
      </c>
      <c r="F6" s="353">
        <v>45901</v>
      </c>
      <c r="G6" s="411" t="s">
        <v>965</v>
      </c>
      <c r="H6" s="363" t="s">
        <v>385</v>
      </c>
      <c r="I6" s="364">
        <v>45960</v>
      </c>
      <c r="J6" s="365"/>
      <c r="K6" s="365"/>
      <c r="L6" s="366" t="s">
        <v>962</v>
      </c>
    </row>
    <row r="7" spans="1:12" ht="30">
      <c r="A7" s="398" t="s">
        <v>87</v>
      </c>
      <c r="B7" s="351">
        <v>10</v>
      </c>
      <c r="C7" s="351" t="s">
        <v>83</v>
      </c>
      <c r="D7" s="351" t="s">
        <v>86</v>
      </c>
      <c r="E7" s="351" t="s">
        <v>88</v>
      </c>
      <c r="F7" s="354">
        <v>45901</v>
      </c>
      <c r="G7" s="411" t="s">
        <v>966</v>
      </c>
      <c r="H7" s="363" t="s">
        <v>967</v>
      </c>
      <c r="I7" s="364">
        <v>45960</v>
      </c>
      <c r="J7" s="365"/>
      <c r="K7" s="365"/>
      <c r="L7" s="366" t="s">
        <v>962</v>
      </c>
    </row>
    <row r="8" spans="1:12" ht="30">
      <c r="A8" s="399" t="s">
        <v>71</v>
      </c>
      <c r="B8" s="351">
        <v>2</v>
      </c>
      <c r="C8" s="351" t="s">
        <v>62</v>
      </c>
      <c r="D8" s="351" t="s">
        <v>968</v>
      </c>
      <c r="E8" s="351" t="s">
        <v>72</v>
      </c>
      <c r="F8" s="354">
        <v>46023</v>
      </c>
      <c r="G8" s="411" t="s">
        <v>969</v>
      </c>
      <c r="H8" s="363" t="s">
        <v>970</v>
      </c>
      <c r="I8" s="364">
        <v>45918</v>
      </c>
      <c r="J8" s="365"/>
      <c r="K8" s="365"/>
      <c r="L8" s="366" t="s">
        <v>971</v>
      </c>
    </row>
    <row r="9" spans="1:12">
      <c r="A9" s="399" t="s">
        <v>71</v>
      </c>
      <c r="B9" s="350">
        <v>3</v>
      </c>
      <c r="C9" s="350" t="s">
        <v>62</v>
      </c>
      <c r="D9" s="350" t="s">
        <v>968</v>
      </c>
      <c r="E9" s="350" t="s">
        <v>72</v>
      </c>
      <c r="F9" s="353">
        <v>46023</v>
      </c>
      <c r="G9" s="411" t="s">
        <v>972</v>
      </c>
      <c r="H9" s="363" t="s">
        <v>973</v>
      </c>
      <c r="I9" s="364">
        <v>45933</v>
      </c>
      <c r="J9" s="365"/>
      <c r="K9" s="365"/>
      <c r="L9" s="366" t="s">
        <v>974</v>
      </c>
    </row>
    <row r="10" spans="1:12">
      <c r="A10" s="399" t="s">
        <v>71</v>
      </c>
      <c r="B10" s="351">
        <v>4</v>
      </c>
      <c r="C10" s="351" t="s">
        <v>62</v>
      </c>
      <c r="D10" s="351" t="s">
        <v>968</v>
      </c>
      <c r="E10" s="351" t="s">
        <v>72</v>
      </c>
      <c r="F10" s="354">
        <v>46023</v>
      </c>
      <c r="G10" s="411" t="s">
        <v>975</v>
      </c>
      <c r="H10" s="363" t="s">
        <v>976</v>
      </c>
      <c r="I10" s="364">
        <v>45933</v>
      </c>
      <c r="J10" s="365"/>
      <c r="K10" s="365"/>
      <c r="L10" s="366" t="s">
        <v>974</v>
      </c>
    </row>
    <row r="11" spans="1:12">
      <c r="A11" s="399" t="s">
        <v>71</v>
      </c>
      <c r="B11" s="350">
        <v>5</v>
      </c>
      <c r="C11" s="350" t="s">
        <v>62</v>
      </c>
      <c r="D11" s="350" t="s">
        <v>968</v>
      </c>
      <c r="E11" s="350" t="s">
        <v>72</v>
      </c>
      <c r="F11" s="353">
        <v>46023</v>
      </c>
      <c r="G11" s="411" t="s">
        <v>977</v>
      </c>
      <c r="H11" s="363" t="s">
        <v>978</v>
      </c>
      <c r="I11" s="364">
        <v>45933</v>
      </c>
      <c r="J11" s="365"/>
      <c r="K11" s="365"/>
      <c r="L11" s="366" t="s">
        <v>974</v>
      </c>
    </row>
    <row r="12" spans="1:12" ht="30">
      <c r="A12" s="399" t="s">
        <v>71</v>
      </c>
      <c r="B12" s="351">
        <v>10</v>
      </c>
      <c r="C12" s="351" t="s">
        <v>62</v>
      </c>
      <c r="D12" s="351" t="s">
        <v>968</v>
      </c>
      <c r="E12" s="351" t="s">
        <v>72</v>
      </c>
      <c r="F12" s="354">
        <v>46023</v>
      </c>
      <c r="G12" s="411" t="s">
        <v>979</v>
      </c>
      <c r="H12" s="363" t="s">
        <v>980</v>
      </c>
      <c r="I12" s="364">
        <v>45960</v>
      </c>
      <c r="J12" s="365"/>
      <c r="K12" s="365"/>
      <c r="L12" s="366" t="s">
        <v>974</v>
      </c>
    </row>
    <row r="13" spans="1:12" ht="45">
      <c r="A13" s="400" t="s">
        <v>270</v>
      </c>
      <c r="B13" s="350">
        <v>1</v>
      </c>
      <c r="C13" s="350" t="s">
        <v>266</v>
      </c>
      <c r="D13" s="350" t="s">
        <v>86</v>
      </c>
      <c r="E13" s="350" t="s">
        <v>981</v>
      </c>
      <c r="F13" s="353">
        <v>45962</v>
      </c>
      <c r="G13" s="411" t="s">
        <v>982</v>
      </c>
      <c r="H13" s="363" t="s">
        <v>983</v>
      </c>
      <c r="I13" s="364">
        <v>45933</v>
      </c>
      <c r="J13" s="365"/>
      <c r="K13" s="365"/>
      <c r="L13" s="366" t="s">
        <v>984</v>
      </c>
    </row>
    <row r="14" spans="1:12" ht="30">
      <c r="A14" s="400" t="s">
        <v>270</v>
      </c>
      <c r="B14" s="351">
        <v>2</v>
      </c>
      <c r="C14" s="351" t="s">
        <v>266</v>
      </c>
      <c r="D14" s="351" t="s">
        <v>86</v>
      </c>
      <c r="E14" s="351" t="s">
        <v>981</v>
      </c>
      <c r="F14" s="354">
        <v>45962</v>
      </c>
      <c r="G14" s="411" t="s">
        <v>985</v>
      </c>
      <c r="H14" s="363" t="s">
        <v>986</v>
      </c>
      <c r="I14" s="364" t="s">
        <v>66</v>
      </c>
      <c r="J14" s="365"/>
      <c r="K14" s="365"/>
      <c r="L14" s="366" t="s">
        <v>987</v>
      </c>
    </row>
    <row r="15" spans="1:12">
      <c r="A15" s="400" t="s">
        <v>270</v>
      </c>
      <c r="B15" s="351">
        <v>4</v>
      </c>
      <c r="C15" s="351" t="s">
        <v>266</v>
      </c>
      <c r="D15" s="351" t="s">
        <v>86</v>
      </c>
      <c r="E15" s="351" t="s">
        <v>981</v>
      </c>
      <c r="F15" s="354">
        <v>45962</v>
      </c>
      <c r="G15" s="411" t="s">
        <v>988</v>
      </c>
      <c r="H15" s="363" t="s">
        <v>989</v>
      </c>
      <c r="I15" s="364" t="s">
        <v>971</v>
      </c>
      <c r="J15" s="365"/>
      <c r="K15" s="365"/>
      <c r="L15" s="366" t="s">
        <v>990</v>
      </c>
    </row>
    <row r="16" spans="1:12" ht="30">
      <c r="A16" s="400" t="s">
        <v>270</v>
      </c>
      <c r="B16" s="351">
        <v>6</v>
      </c>
      <c r="C16" s="351" t="s">
        <v>266</v>
      </c>
      <c r="D16" s="351" t="s">
        <v>86</v>
      </c>
      <c r="E16" s="351" t="s">
        <v>981</v>
      </c>
      <c r="F16" s="354">
        <v>45962</v>
      </c>
      <c r="G16" s="411" t="s">
        <v>991</v>
      </c>
      <c r="H16" s="363" t="s">
        <v>992</v>
      </c>
      <c r="I16" s="363" t="s">
        <v>66</v>
      </c>
      <c r="J16" s="365"/>
      <c r="K16" s="365"/>
      <c r="L16" s="366" t="s">
        <v>993</v>
      </c>
    </row>
    <row r="17" spans="1:12" ht="30">
      <c r="A17" s="400" t="s">
        <v>270</v>
      </c>
      <c r="B17" s="350">
        <v>7</v>
      </c>
      <c r="C17" s="350" t="s">
        <v>266</v>
      </c>
      <c r="D17" s="350" t="s">
        <v>86</v>
      </c>
      <c r="E17" s="350" t="s">
        <v>981</v>
      </c>
      <c r="F17" s="353">
        <v>45962</v>
      </c>
      <c r="G17" s="411" t="s">
        <v>994</v>
      </c>
      <c r="H17" s="363" t="s">
        <v>986</v>
      </c>
      <c r="I17" s="363" t="s">
        <v>66</v>
      </c>
      <c r="J17" s="365"/>
      <c r="K17" s="365"/>
      <c r="L17" s="366" t="s">
        <v>993</v>
      </c>
    </row>
    <row r="18" spans="1:12" ht="30">
      <c r="A18" s="401" t="s">
        <v>80</v>
      </c>
      <c r="B18" s="350">
        <v>1</v>
      </c>
      <c r="C18" s="350" t="s">
        <v>75</v>
      </c>
      <c r="D18" s="350" t="s">
        <v>78</v>
      </c>
      <c r="E18" s="350" t="s">
        <v>81</v>
      </c>
      <c r="F18" s="353">
        <v>46266</v>
      </c>
      <c r="G18" s="411" t="s">
        <v>995</v>
      </c>
      <c r="H18" s="363" t="s">
        <v>976</v>
      </c>
      <c r="I18" s="364" t="s">
        <v>66</v>
      </c>
      <c r="J18" s="365"/>
      <c r="K18" s="365"/>
      <c r="L18" s="366" t="s">
        <v>962</v>
      </c>
    </row>
    <row r="19" spans="1:12">
      <c r="A19" s="401" t="s">
        <v>80</v>
      </c>
      <c r="B19" s="351">
        <v>2</v>
      </c>
      <c r="C19" s="351" t="s">
        <v>75</v>
      </c>
      <c r="D19" s="351" t="s">
        <v>78</v>
      </c>
      <c r="E19" s="351" t="s">
        <v>81</v>
      </c>
      <c r="F19" s="354">
        <v>46266</v>
      </c>
      <c r="G19" s="411" t="s">
        <v>996</v>
      </c>
      <c r="H19" s="363" t="s">
        <v>997</v>
      </c>
      <c r="I19" s="364" t="s">
        <v>66</v>
      </c>
      <c r="J19" s="365"/>
      <c r="K19" s="365"/>
      <c r="L19" s="366" t="s">
        <v>974</v>
      </c>
    </row>
    <row r="20" spans="1:12">
      <c r="A20" s="401" t="s">
        <v>80</v>
      </c>
      <c r="B20" s="350">
        <v>3</v>
      </c>
      <c r="C20" s="350" t="s">
        <v>75</v>
      </c>
      <c r="D20" s="350" t="s">
        <v>78</v>
      </c>
      <c r="E20" s="350" t="s">
        <v>81</v>
      </c>
      <c r="F20" s="353">
        <v>46266</v>
      </c>
      <c r="G20" s="411" t="s">
        <v>998</v>
      </c>
      <c r="H20" s="363" t="s">
        <v>976</v>
      </c>
      <c r="I20" s="364" t="s">
        <v>66</v>
      </c>
      <c r="J20" s="365"/>
      <c r="K20" s="365"/>
      <c r="L20" s="366" t="s">
        <v>974</v>
      </c>
    </row>
    <row r="21" spans="1:12" ht="30">
      <c r="A21" s="401" t="s">
        <v>80</v>
      </c>
      <c r="B21" s="351">
        <v>4</v>
      </c>
      <c r="C21" s="351" t="s">
        <v>75</v>
      </c>
      <c r="D21" s="351" t="s">
        <v>78</v>
      </c>
      <c r="E21" s="351" t="s">
        <v>81</v>
      </c>
      <c r="F21" s="354">
        <v>46266</v>
      </c>
      <c r="G21" s="411" t="s">
        <v>999</v>
      </c>
      <c r="H21" s="363" t="s">
        <v>986</v>
      </c>
      <c r="I21" s="364" t="s">
        <v>66</v>
      </c>
      <c r="J21" s="365"/>
      <c r="K21" s="365"/>
      <c r="L21" s="366" t="s">
        <v>1000</v>
      </c>
    </row>
    <row r="22" spans="1:12">
      <c r="A22" s="401" t="s">
        <v>80</v>
      </c>
      <c r="B22" s="350">
        <v>7</v>
      </c>
      <c r="C22" s="350" t="s">
        <v>75</v>
      </c>
      <c r="D22" s="350" t="s">
        <v>78</v>
      </c>
      <c r="E22" s="350" t="s">
        <v>81</v>
      </c>
      <c r="F22" s="353">
        <v>46266</v>
      </c>
      <c r="G22" s="411" t="s">
        <v>1001</v>
      </c>
      <c r="H22" s="363" t="s">
        <v>81</v>
      </c>
      <c r="I22" s="364" t="s">
        <v>66</v>
      </c>
      <c r="J22" s="365"/>
      <c r="K22" s="365"/>
      <c r="L22" s="366" t="s">
        <v>962</v>
      </c>
    </row>
    <row r="23" spans="1:12">
      <c r="A23" s="401" t="s">
        <v>80</v>
      </c>
      <c r="B23" s="350"/>
      <c r="C23" s="350"/>
      <c r="D23" s="350"/>
      <c r="E23" s="350"/>
      <c r="F23" s="353"/>
      <c r="G23" s="411" t="s">
        <v>1002</v>
      </c>
      <c r="H23" s="363" t="s">
        <v>1003</v>
      </c>
      <c r="I23" s="364" t="s">
        <v>971</v>
      </c>
      <c r="J23" s="365"/>
      <c r="K23" s="365"/>
      <c r="L23" s="366" t="s">
        <v>971</v>
      </c>
    </row>
    <row r="24" spans="1:12">
      <c r="A24" s="401" t="s">
        <v>80</v>
      </c>
      <c r="B24" s="350"/>
      <c r="C24" s="350"/>
      <c r="D24" s="350"/>
      <c r="E24" s="350"/>
      <c r="F24" s="353"/>
      <c r="G24" s="411" t="s">
        <v>1004</v>
      </c>
      <c r="H24" s="363" t="s">
        <v>1005</v>
      </c>
      <c r="I24" s="364"/>
      <c r="J24" s="365"/>
      <c r="K24" s="365"/>
      <c r="L24" s="366" t="s">
        <v>962</v>
      </c>
    </row>
    <row r="25" spans="1:12" ht="45">
      <c r="A25" s="402" t="s">
        <v>255</v>
      </c>
      <c r="B25" s="351">
        <v>1</v>
      </c>
      <c r="C25" s="351" t="s">
        <v>250</v>
      </c>
      <c r="D25" s="351" t="s">
        <v>1006</v>
      </c>
      <c r="E25" s="351" t="s">
        <v>256</v>
      </c>
      <c r="F25" s="354">
        <v>46204</v>
      </c>
      <c r="G25" s="411" t="s">
        <v>1007</v>
      </c>
      <c r="H25" s="369" t="s">
        <v>1008</v>
      </c>
      <c r="I25" s="364" t="s">
        <v>1009</v>
      </c>
      <c r="J25" s="365"/>
      <c r="K25" s="365"/>
      <c r="L25" s="366" t="s">
        <v>1010</v>
      </c>
    </row>
    <row r="26" spans="1:12" ht="30">
      <c r="A26" s="402" t="s">
        <v>255</v>
      </c>
      <c r="B26" s="350"/>
      <c r="C26" s="350"/>
      <c r="D26" s="350"/>
      <c r="E26" s="350"/>
      <c r="F26" s="353"/>
      <c r="G26" s="411" t="s">
        <v>1011</v>
      </c>
      <c r="H26" s="363" t="s">
        <v>1012</v>
      </c>
      <c r="I26" s="364">
        <v>45926</v>
      </c>
      <c r="J26" s="365"/>
      <c r="K26" s="365"/>
      <c r="L26" s="366" t="s">
        <v>1013</v>
      </c>
    </row>
    <row r="27" spans="1:12" ht="105">
      <c r="A27" s="402" t="s">
        <v>255</v>
      </c>
      <c r="B27" s="350">
        <v>2</v>
      </c>
      <c r="C27" s="350" t="s">
        <v>250</v>
      </c>
      <c r="D27" s="350" t="s">
        <v>1006</v>
      </c>
      <c r="E27" s="350" t="s">
        <v>256</v>
      </c>
      <c r="F27" s="353">
        <v>46204</v>
      </c>
      <c r="G27" s="411" t="s">
        <v>1014</v>
      </c>
      <c r="H27" s="363" t="s">
        <v>1005</v>
      </c>
      <c r="I27" s="364">
        <v>45930</v>
      </c>
      <c r="J27" s="365"/>
      <c r="K27" s="365"/>
      <c r="L27" s="366" t="s">
        <v>1015</v>
      </c>
    </row>
    <row r="28" spans="1:12" ht="45">
      <c r="A28" s="402" t="s">
        <v>255</v>
      </c>
      <c r="B28" s="351">
        <v>3</v>
      </c>
      <c r="C28" s="351" t="s">
        <v>250</v>
      </c>
      <c r="D28" s="351" t="s">
        <v>1006</v>
      </c>
      <c r="E28" s="351" t="s">
        <v>256</v>
      </c>
      <c r="F28" s="354">
        <v>46204</v>
      </c>
      <c r="G28" s="411" t="s">
        <v>1016</v>
      </c>
      <c r="H28" s="363" t="s">
        <v>1012</v>
      </c>
      <c r="I28" s="364">
        <v>45930</v>
      </c>
      <c r="J28" s="365"/>
      <c r="K28" s="365"/>
      <c r="L28" s="366" t="s">
        <v>1017</v>
      </c>
    </row>
    <row r="29" spans="1:12" ht="60">
      <c r="A29" s="402" t="s">
        <v>255</v>
      </c>
      <c r="B29" s="350"/>
      <c r="C29" s="350"/>
      <c r="D29" s="350"/>
      <c r="E29" s="350"/>
      <c r="F29" s="353"/>
      <c r="G29" s="411" t="s">
        <v>1018</v>
      </c>
      <c r="H29" s="363" t="s">
        <v>1019</v>
      </c>
      <c r="I29" s="364">
        <v>45918</v>
      </c>
      <c r="J29" s="365"/>
      <c r="L29" s="366" t="s">
        <v>971</v>
      </c>
    </row>
    <row r="30" spans="1:12" ht="30">
      <c r="A30" s="402" t="s">
        <v>255</v>
      </c>
      <c r="B30" s="350"/>
      <c r="C30" s="350"/>
      <c r="D30" s="350"/>
      <c r="E30" s="350"/>
      <c r="F30" s="353"/>
      <c r="G30" s="411" t="s">
        <v>1020</v>
      </c>
      <c r="H30" s="363" t="s">
        <v>1021</v>
      </c>
      <c r="I30" s="364">
        <v>45925</v>
      </c>
      <c r="J30" s="365"/>
      <c r="K30" s="365"/>
      <c r="L30" s="366" t="s">
        <v>1022</v>
      </c>
    </row>
    <row r="31" spans="1:12" ht="30">
      <c r="A31" s="402" t="s">
        <v>255</v>
      </c>
      <c r="B31" s="351">
        <v>5</v>
      </c>
      <c r="C31" s="351" t="s">
        <v>250</v>
      </c>
      <c r="D31" s="351" t="s">
        <v>1006</v>
      </c>
      <c r="E31" s="351" t="s">
        <v>256</v>
      </c>
      <c r="F31" s="354">
        <v>46204</v>
      </c>
      <c r="G31" s="411" t="s">
        <v>1023</v>
      </c>
      <c r="H31" s="363" t="s">
        <v>144</v>
      </c>
      <c r="I31" s="364">
        <v>45926</v>
      </c>
      <c r="J31" s="365"/>
      <c r="L31" s="366" t="s">
        <v>962</v>
      </c>
    </row>
    <row r="32" spans="1:12" ht="30">
      <c r="A32" s="402" t="s">
        <v>255</v>
      </c>
      <c r="B32" s="350">
        <v>6</v>
      </c>
      <c r="C32" s="350" t="s">
        <v>250</v>
      </c>
      <c r="D32" s="350" t="s">
        <v>1006</v>
      </c>
      <c r="E32" s="350" t="s">
        <v>256</v>
      </c>
      <c r="F32" s="353">
        <v>46204</v>
      </c>
      <c r="G32" s="411" t="s">
        <v>1024</v>
      </c>
      <c r="H32" s="363" t="s">
        <v>144</v>
      </c>
      <c r="I32" s="363" t="s">
        <v>66</v>
      </c>
      <c r="J32" s="365"/>
      <c r="L32" s="366" t="s">
        <v>962</v>
      </c>
    </row>
    <row r="33" spans="1:12" ht="30">
      <c r="A33" s="402" t="s">
        <v>255</v>
      </c>
      <c r="B33" s="351">
        <v>7</v>
      </c>
      <c r="C33" s="351" t="s">
        <v>250</v>
      </c>
      <c r="D33" s="351" t="s">
        <v>1006</v>
      </c>
      <c r="E33" s="351" t="s">
        <v>256</v>
      </c>
      <c r="F33" s="354">
        <v>46204</v>
      </c>
      <c r="G33" s="411" t="s">
        <v>1025</v>
      </c>
      <c r="H33" s="363" t="s">
        <v>1026</v>
      </c>
      <c r="I33" s="364">
        <v>45926</v>
      </c>
      <c r="J33" s="365"/>
      <c r="K33" s="365"/>
      <c r="L33" s="366" t="s">
        <v>1027</v>
      </c>
    </row>
    <row r="34" spans="1:12">
      <c r="A34" s="402" t="s">
        <v>255</v>
      </c>
      <c r="B34" s="350">
        <v>8</v>
      </c>
      <c r="C34" s="350" t="s">
        <v>250</v>
      </c>
      <c r="D34" s="350" t="s">
        <v>1006</v>
      </c>
      <c r="E34" s="350" t="s">
        <v>256</v>
      </c>
      <c r="F34" s="353">
        <v>46204</v>
      </c>
      <c r="G34" s="411" t="s">
        <v>1028</v>
      </c>
      <c r="H34" s="363" t="s">
        <v>1026</v>
      </c>
      <c r="I34" s="364">
        <v>45926</v>
      </c>
      <c r="J34" s="365"/>
      <c r="K34" s="365"/>
      <c r="L34" s="366" t="s">
        <v>962</v>
      </c>
    </row>
    <row r="35" spans="1:12" ht="30">
      <c r="A35" s="403" t="s">
        <v>151</v>
      </c>
      <c r="B35" s="350">
        <v>1</v>
      </c>
      <c r="C35" s="350" t="s">
        <v>146</v>
      </c>
      <c r="D35" s="350" t="s">
        <v>149</v>
      </c>
      <c r="E35" s="350" t="s">
        <v>152</v>
      </c>
      <c r="F35" s="353">
        <v>45870</v>
      </c>
      <c r="G35" s="411" t="s">
        <v>1029</v>
      </c>
      <c r="H35" s="363" t="s">
        <v>1030</v>
      </c>
      <c r="I35" s="364">
        <v>45930</v>
      </c>
      <c r="J35" s="365"/>
      <c r="K35" s="365" t="s">
        <v>1031</v>
      </c>
      <c r="L35" s="366" t="s">
        <v>1032</v>
      </c>
    </row>
    <row r="36" spans="1:12" ht="30">
      <c r="A36" s="403" t="s">
        <v>151</v>
      </c>
      <c r="B36" s="351">
        <v>2</v>
      </c>
      <c r="C36" s="351" t="s">
        <v>146</v>
      </c>
      <c r="D36" s="351" t="s">
        <v>149</v>
      </c>
      <c r="E36" s="351" t="s">
        <v>152</v>
      </c>
      <c r="F36" s="354">
        <v>45870</v>
      </c>
      <c r="G36" s="411" t="s">
        <v>1033</v>
      </c>
      <c r="H36" s="363" t="s">
        <v>1034</v>
      </c>
      <c r="I36" s="364" t="s">
        <v>1035</v>
      </c>
      <c r="J36" s="365" t="s">
        <v>435</v>
      </c>
      <c r="K36" s="365"/>
      <c r="L36" s="366" t="s">
        <v>974</v>
      </c>
    </row>
    <row r="37" spans="1:12">
      <c r="A37" s="403" t="s">
        <v>151</v>
      </c>
      <c r="B37" s="350">
        <v>3</v>
      </c>
      <c r="C37" s="350" t="s">
        <v>146</v>
      </c>
      <c r="D37" s="350" t="s">
        <v>149</v>
      </c>
      <c r="E37" s="350" t="s">
        <v>152</v>
      </c>
      <c r="F37" s="353">
        <v>45870</v>
      </c>
      <c r="G37" s="411" t="s">
        <v>1036</v>
      </c>
      <c r="H37" s="363" t="s">
        <v>1037</v>
      </c>
      <c r="I37" s="364" t="s">
        <v>1035</v>
      </c>
      <c r="J37" s="365"/>
      <c r="K37" s="365" t="s">
        <v>1031</v>
      </c>
      <c r="L37" s="366" t="s">
        <v>974</v>
      </c>
    </row>
    <row r="38" spans="1:12" ht="30">
      <c r="A38" s="403" t="s">
        <v>151</v>
      </c>
      <c r="B38" s="350"/>
      <c r="C38" s="350"/>
      <c r="D38" s="350"/>
      <c r="E38" s="350"/>
      <c r="F38" s="353"/>
      <c r="G38" s="411" t="s">
        <v>1038</v>
      </c>
      <c r="H38" s="363" t="s">
        <v>1008</v>
      </c>
      <c r="I38" s="364" t="s">
        <v>66</v>
      </c>
      <c r="J38" s="365"/>
      <c r="K38" s="367"/>
      <c r="L38" s="366" t="s">
        <v>1039</v>
      </c>
    </row>
    <row r="39" spans="1:12" ht="30">
      <c r="A39" s="403" t="s">
        <v>151</v>
      </c>
      <c r="B39" s="350"/>
      <c r="C39" s="350"/>
      <c r="D39" s="350"/>
      <c r="E39" s="350"/>
      <c r="F39" s="353"/>
      <c r="G39" s="411" t="s">
        <v>1040</v>
      </c>
      <c r="H39" s="363" t="s">
        <v>137</v>
      </c>
      <c r="I39" s="364" t="s">
        <v>66</v>
      </c>
      <c r="J39" s="365"/>
      <c r="K39" s="367"/>
      <c r="L39" s="366" t="s">
        <v>1041</v>
      </c>
    </row>
    <row r="40" spans="1:12" ht="30">
      <c r="A40" s="403" t="s">
        <v>151</v>
      </c>
      <c r="B40" s="350"/>
      <c r="C40" s="350"/>
      <c r="D40" s="350"/>
      <c r="E40" s="350"/>
      <c r="F40" s="353"/>
      <c r="G40" s="411" t="s">
        <v>1042</v>
      </c>
      <c r="H40" s="363" t="s">
        <v>1043</v>
      </c>
      <c r="I40" s="364" t="s">
        <v>66</v>
      </c>
      <c r="J40" s="365"/>
      <c r="K40" s="367"/>
      <c r="L40" s="366" t="s">
        <v>962</v>
      </c>
    </row>
    <row r="41" spans="1:12" ht="30">
      <c r="A41" s="403" t="s">
        <v>151</v>
      </c>
      <c r="B41" s="350">
        <v>11</v>
      </c>
      <c r="C41" s="350" t="s">
        <v>146</v>
      </c>
      <c r="D41" s="350" t="s">
        <v>149</v>
      </c>
      <c r="E41" s="350" t="s">
        <v>152</v>
      </c>
      <c r="F41" s="353">
        <v>45870</v>
      </c>
      <c r="G41" s="411" t="s">
        <v>1044</v>
      </c>
      <c r="H41" s="363" t="s">
        <v>1034</v>
      </c>
      <c r="I41" s="364">
        <v>42275</v>
      </c>
      <c r="J41" s="365"/>
      <c r="K41" s="365"/>
      <c r="L41" s="366" t="s">
        <v>962</v>
      </c>
    </row>
    <row r="42" spans="1:12">
      <c r="A42" s="404" t="s">
        <v>263</v>
      </c>
      <c r="B42" s="351">
        <v>3</v>
      </c>
      <c r="C42" s="351" t="s">
        <v>258</v>
      </c>
      <c r="D42" s="351" t="s">
        <v>149</v>
      </c>
      <c r="E42" s="351" t="s">
        <v>1045</v>
      </c>
      <c r="F42" s="354">
        <v>46054</v>
      </c>
      <c r="G42" s="411" t="s">
        <v>1046</v>
      </c>
      <c r="H42" s="363" t="s">
        <v>1047</v>
      </c>
      <c r="I42" s="364">
        <v>45961</v>
      </c>
      <c r="J42" s="365"/>
      <c r="K42" s="365" t="s">
        <v>1048</v>
      </c>
      <c r="L42" s="366" t="s">
        <v>1049</v>
      </c>
    </row>
    <row r="43" spans="1:12">
      <c r="A43" s="404" t="s">
        <v>263</v>
      </c>
      <c r="B43" s="350">
        <v>4</v>
      </c>
      <c r="C43" s="350" t="s">
        <v>258</v>
      </c>
      <c r="D43" s="350" t="s">
        <v>149</v>
      </c>
      <c r="E43" s="350" t="s">
        <v>1045</v>
      </c>
      <c r="F43" s="353">
        <v>46054</v>
      </c>
      <c r="G43" s="411" t="s">
        <v>1050</v>
      </c>
      <c r="H43" s="363" t="s">
        <v>1047</v>
      </c>
      <c r="I43" s="364">
        <v>45961</v>
      </c>
      <c r="J43" s="365" t="s">
        <v>144</v>
      </c>
      <c r="K43" s="367"/>
      <c r="L43" s="366" t="s">
        <v>974</v>
      </c>
    </row>
    <row r="44" spans="1:12" ht="30">
      <c r="A44" s="404" t="s">
        <v>263</v>
      </c>
      <c r="B44" s="351">
        <v>5</v>
      </c>
      <c r="C44" s="351" t="s">
        <v>258</v>
      </c>
      <c r="D44" s="351" t="s">
        <v>149</v>
      </c>
      <c r="E44" s="351" t="s">
        <v>1045</v>
      </c>
      <c r="F44" s="354">
        <v>46054</v>
      </c>
      <c r="G44" s="411" t="s">
        <v>1051</v>
      </c>
      <c r="H44" s="363" t="s">
        <v>1052</v>
      </c>
      <c r="I44" s="364" t="s">
        <v>66</v>
      </c>
      <c r="J44" s="365"/>
      <c r="K44" s="365" t="s">
        <v>1053</v>
      </c>
      <c r="L44" s="366" t="s">
        <v>974</v>
      </c>
    </row>
    <row r="45" spans="1:12">
      <c r="A45" s="404" t="s">
        <v>263</v>
      </c>
      <c r="B45" s="350">
        <v>6</v>
      </c>
      <c r="C45" s="350" t="s">
        <v>258</v>
      </c>
      <c r="D45" s="350" t="s">
        <v>149</v>
      </c>
      <c r="E45" s="350" t="s">
        <v>1045</v>
      </c>
      <c r="F45" s="353">
        <v>46054</v>
      </c>
      <c r="G45" s="411" t="s">
        <v>1054</v>
      </c>
      <c r="H45" s="363" t="s">
        <v>1055</v>
      </c>
      <c r="I45" s="364" t="s">
        <v>66</v>
      </c>
      <c r="J45" s="365"/>
      <c r="K45" s="365"/>
      <c r="L45" s="366" t="s">
        <v>974</v>
      </c>
    </row>
    <row r="46" spans="1:12" ht="30">
      <c r="A46" s="404" t="s">
        <v>263</v>
      </c>
      <c r="B46" s="351">
        <v>7</v>
      </c>
      <c r="C46" s="351" t="s">
        <v>258</v>
      </c>
      <c r="D46" s="351" t="s">
        <v>149</v>
      </c>
      <c r="E46" s="351" t="s">
        <v>1045</v>
      </c>
      <c r="F46" s="354">
        <v>46054</v>
      </c>
      <c r="G46" s="411" t="s">
        <v>1056</v>
      </c>
      <c r="H46" s="363" t="s">
        <v>1057</v>
      </c>
      <c r="I46" s="364" t="s">
        <v>66</v>
      </c>
      <c r="J46" s="365"/>
      <c r="K46" s="365"/>
      <c r="L46" s="366" t="s">
        <v>1058</v>
      </c>
    </row>
    <row r="47" spans="1:12" ht="30">
      <c r="A47" s="404" t="s">
        <v>263</v>
      </c>
      <c r="B47" s="350">
        <v>8</v>
      </c>
      <c r="C47" s="350" t="s">
        <v>258</v>
      </c>
      <c r="D47" s="350" t="s">
        <v>149</v>
      </c>
      <c r="E47" s="350" t="s">
        <v>1045</v>
      </c>
      <c r="F47" s="353">
        <v>46054</v>
      </c>
      <c r="G47" s="411" t="s">
        <v>1059</v>
      </c>
      <c r="H47" s="363" t="s">
        <v>129</v>
      </c>
      <c r="I47" s="364" t="s">
        <v>66</v>
      </c>
      <c r="J47" s="365"/>
      <c r="K47" s="365"/>
      <c r="L47" s="366" t="s">
        <v>1060</v>
      </c>
    </row>
    <row r="48" spans="1:12" ht="45">
      <c r="A48" s="405" t="s">
        <v>1061</v>
      </c>
      <c r="B48" s="351">
        <v>1</v>
      </c>
      <c r="C48" s="351" t="s">
        <v>286</v>
      </c>
      <c r="D48" s="351" t="s">
        <v>149</v>
      </c>
      <c r="E48" s="351" t="s">
        <v>132</v>
      </c>
      <c r="F48" s="354">
        <v>45870</v>
      </c>
      <c r="G48" s="411" t="s">
        <v>1062</v>
      </c>
      <c r="H48" s="363" t="s">
        <v>1047</v>
      </c>
      <c r="I48" s="364" t="s">
        <v>971</v>
      </c>
      <c r="J48" s="365"/>
      <c r="K48" s="365" t="s">
        <v>1063</v>
      </c>
      <c r="L48" s="366" t="s">
        <v>1064</v>
      </c>
    </row>
    <row r="49" spans="1:12" ht="30">
      <c r="A49" s="405" t="s">
        <v>1061</v>
      </c>
      <c r="B49" s="350">
        <v>4</v>
      </c>
      <c r="C49" s="350" t="s">
        <v>286</v>
      </c>
      <c r="D49" s="350" t="s">
        <v>149</v>
      </c>
      <c r="E49" s="350" t="s">
        <v>132</v>
      </c>
      <c r="F49" s="353">
        <v>45870</v>
      </c>
      <c r="G49" s="411" t="s">
        <v>1065</v>
      </c>
      <c r="H49" s="363" t="s">
        <v>1047</v>
      </c>
      <c r="I49" s="364" t="s">
        <v>66</v>
      </c>
      <c r="J49" s="365"/>
      <c r="K49" s="365"/>
      <c r="L49" s="366" t="s">
        <v>394</v>
      </c>
    </row>
    <row r="50" spans="1:12">
      <c r="A50" s="406" t="s">
        <v>244</v>
      </c>
      <c r="B50" s="351">
        <v>2</v>
      </c>
      <c r="C50" s="351" t="s">
        <v>243</v>
      </c>
      <c r="D50" s="351" t="s">
        <v>246</v>
      </c>
      <c r="E50" s="351" t="s">
        <v>1066</v>
      </c>
      <c r="F50" s="354">
        <v>45839</v>
      </c>
      <c r="G50" s="411" t="s">
        <v>1067</v>
      </c>
      <c r="H50" s="368" t="s">
        <v>1068</v>
      </c>
      <c r="I50" s="364" t="s">
        <v>66</v>
      </c>
      <c r="J50" s="365" t="s">
        <v>1069</v>
      </c>
      <c r="K50" s="367"/>
      <c r="L50" s="366" t="s">
        <v>974</v>
      </c>
    </row>
    <row r="51" spans="1:12" ht="30">
      <c r="A51" s="406" t="s">
        <v>244</v>
      </c>
      <c r="B51" s="350">
        <v>3</v>
      </c>
      <c r="C51" s="350" t="s">
        <v>243</v>
      </c>
      <c r="D51" s="350" t="s">
        <v>246</v>
      </c>
      <c r="E51" s="350" t="s">
        <v>1066</v>
      </c>
      <c r="F51" s="353">
        <v>45839</v>
      </c>
      <c r="G51" s="411" t="s">
        <v>1070</v>
      </c>
      <c r="H51" s="363" t="s">
        <v>1068</v>
      </c>
      <c r="I51" s="364" t="s">
        <v>66</v>
      </c>
      <c r="J51" s="365"/>
      <c r="K51" s="365"/>
      <c r="L51" s="366" t="s">
        <v>974</v>
      </c>
    </row>
    <row r="52" spans="1:12" ht="30">
      <c r="A52" s="407" t="s">
        <v>99</v>
      </c>
      <c r="B52" s="350">
        <v>3</v>
      </c>
      <c r="C52" s="350" t="s">
        <v>90</v>
      </c>
      <c r="D52" s="350" t="s">
        <v>1071</v>
      </c>
      <c r="E52" s="350" t="s">
        <v>100</v>
      </c>
      <c r="F52" s="353">
        <v>45901</v>
      </c>
      <c r="G52" s="411" t="s">
        <v>1072</v>
      </c>
      <c r="H52" s="368" t="s">
        <v>1073</v>
      </c>
      <c r="I52" s="364">
        <v>45912</v>
      </c>
      <c r="J52" s="365"/>
      <c r="K52" s="365" t="s">
        <v>1074</v>
      </c>
      <c r="L52" s="366" t="s">
        <v>971</v>
      </c>
    </row>
    <row r="53" spans="1:12" ht="30">
      <c r="A53" s="407" t="s">
        <v>99</v>
      </c>
      <c r="B53" s="350">
        <v>1</v>
      </c>
      <c r="C53" s="350" t="s">
        <v>90</v>
      </c>
      <c r="D53" s="350" t="s">
        <v>1071</v>
      </c>
      <c r="E53" s="350" t="s">
        <v>100</v>
      </c>
      <c r="F53" s="353">
        <v>45901</v>
      </c>
      <c r="G53" s="411" t="s">
        <v>1075</v>
      </c>
      <c r="H53" s="368" t="s">
        <v>1076</v>
      </c>
      <c r="I53" s="364">
        <v>45922</v>
      </c>
      <c r="J53" s="365" t="s">
        <v>1077</v>
      </c>
      <c r="K53" s="367"/>
      <c r="L53" s="366" t="s">
        <v>971</v>
      </c>
    </row>
    <row r="54" spans="1:12" ht="30">
      <c r="A54" s="407" t="s">
        <v>99</v>
      </c>
      <c r="B54" s="350">
        <v>1</v>
      </c>
      <c r="C54" s="350" t="s">
        <v>90</v>
      </c>
      <c r="D54" s="350" t="s">
        <v>1071</v>
      </c>
      <c r="E54" s="350" t="s">
        <v>100</v>
      </c>
      <c r="F54" s="353">
        <v>45901</v>
      </c>
      <c r="G54" s="411" t="s">
        <v>1078</v>
      </c>
      <c r="H54" s="368" t="s">
        <v>1079</v>
      </c>
      <c r="I54" s="364">
        <v>45918</v>
      </c>
      <c r="J54" s="365" t="s">
        <v>1077</v>
      </c>
      <c r="K54" s="367"/>
      <c r="L54" s="366" t="s">
        <v>971</v>
      </c>
    </row>
    <row r="55" spans="1:12" ht="30">
      <c r="A55" s="407" t="s">
        <v>99</v>
      </c>
      <c r="B55" s="350"/>
      <c r="C55" s="350"/>
      <c r="D55" s="350"/>
      <c r="E55" s="350"/>
      <c r="F55" s="353"/>
      <c r="G55" s="411" t="s">
        <v>1080</v>
      </c>
      <c r="H55" s="363" t="s">
        <v>1074</v>
      </c>
      <c r="I55" s="364">
        <v>45919</v>
      </c>
      <c r="J55" s="365"/>
      <c r="K55" s="367"/>
      <c r="L55" s="366" t="s">
        <v>962</v>
      </c>
    </row>
    <row r="56" spans="1:12" ht="45">
      <c r="A56" s="407" t="s">
        <v>99</v>
      </c>
      <c r="B56" s="351">
        <v>6</v>
      </c>
      <c r="C56" s="351" t="s">
        <v>90</v>
      </c>
      <c r="D56" s="351" t="s">
        <v>1071</v>
      </c>
      <c r="E56" s="351" t="s">
        <v>100</v>
      </c>
      <c r="F56" s="354">
        <v>45901</v>
      </c>
      <c r="G56" s="411" t="s">
        <v>1081</v>
      </c>
      <c r="H56" s="368" t="s">
        <v>1082</v>
      </c>
      <c r="I56" s="363" t="s">
        <v>1035</v>
      </c>
      <c r="J56" s="365"/>
      <c r="K56" s="365"/>
      <c r="L56" s="366" t="s">
        <v>1083</v>
      </c>
    </row>
    <row r="57" spans="1:12" ht="30">
      <c r="A57" s="407" t="s">
        <v>99</v>
      </c>
      <c r="B57" s="350"/>
      <c r="C57" s="350"/>
      <c r="D57" s="350"/>
      <c r="E57" s="350"/>
      <c r="F57" s="353"/>
      <c r="G57" s="411" t="s">
        <v>1084</v>
      </c>
      <c r="H57" s="363" t="s">
        <v>1085</v>
      </c>
      <c r="I57" s="364">
        <v>45925</v>
      </c>
      <c r="J57" s="365"/>
      <c r="L57" s="366" t="s">
        <v>962</v>
      </c>
    </row>
    <row r="58" spans="1:12" ht="45">
      <c r="A58" s="407" t="s">
        <v>99</v>
      </c>
      <c r="B58" s="350">
        <v>1</v>
      </c>
      <c r="C58" s="350" t="s">
        <v>90</v>
      </c>
      <c r="D58" s="350" t="s">
        <v>1071</v>
      </c>
      <c r="E58" s="350" t="s">
        <v>100</v>
      </c>
      <c r="F58" s="353">
        <v>45901</v>
      </c>
      <c r="G58" s="411" t="s">
        <v>1086</v>
      </c>
      <c r="H58" s="368" t="s">
        <v>1087</v>
      </c>
      <c r="I58" s="364" t="s">
        <v>1035</v>
      </c>
      <c r="J58" s="365" t="s">
        <v>1077</v>
      </c>
      <c r="K58" s="367"/>
      <c r="L58" s="366" t="s">
        <v>394</v>
      </c>
    </row>
    <row r="59" spans="1:12" ht="30">
      <c r="A59" s="407" t="s">
        <v>99</v>
      </c>
      <c r="B59" s="350"/>
      <c r="C59" s="350"/>
      <c r="D59" s="350"/>
      <c r="E59" s="350"/>
      <c r="F59" s="353"/>
      <c r="G59" s="411" t="s">
        <v>1088</v>
      </c>
      <c r="H59" s="368" t="s">
        <v>1087</v>
      </c>
      <c r="I59" s="364" t="s">
        <v>1035</v>
      </c>
      <c r="J59" s="365" t="s">
        <v>1077</v>
      </c>
      <c r="K59" s="367"/>
      <c r="L59" s="366" t="s">
        <v>1089</v>
      </c>
    </row>
    <row r="60" spans="1:12" ht="30">
      <c r="A60" s="407" t="s">
        <v>99</v>
      </c>
      <c r="B60" s="350">
        <v>5</v>
      </c>
      <c r="C60" s="350" t="s">
        <v>90</v>
      </c>
      <c r="D60" s="350" t="s">
        <v>1071</v>
      </c>
      <c r="E60" s="350" t="s">
        <v>100</v>
      </c>
      <c r="F60" s="353">
        <v>45901</v>
      </c>
      <c r="G60" s="411" t="s">
        <v>1090</v>
      </c>
      <c r="H60" s="368" t="s">
        <v>1087</v>
      </c>
      <c r="I60" s="364" t="s">
        <v>1035</v>
      </c>
      <c r="J60" s="365" t="s">
        <v>1077</v>
      </c>
      <c r="K60" s="367"/>
      <c r="L60" s="366" t="s">
        <v>394</v>
      </c>
    </row>
    <row r="61" spans="1:12" ht="45">
      <c r="A61" s="407" t="s">
        <v>99</v>
      </c>
      <c r="B61" s="350"/>
      <c r="C61" s="350"/>
      <c r="D61" s="350"/>
      <c r="E61" s="350"/>
      <c r="F61" s="353"/>
      <c r="G61" s="411" t="s">
        <v>1091</v>
      </c>
      <c r="H61" s="363" t="s">
        <v>100</v>
      </c>
      <c r="I61" s="364" t="s">
        <v>1035</v>
      </c>
      <c r="J61" s="365" t="s">
        <v>1077</v>
      </c>
      <c r="K61" s="367"/>
      <c r="L61" s="366" t="s">
        <v>394</v>
      </c>
    </row>
    <row r="62" spans="1:12">
      <c r="A62" s="407" t="s">
        <v>99</v>
      </c>
      <c r="B62" s="351">
        <v>8</v>
      </c>
      <c r="C62" s="351" t="s">
        <v>90</v>
      </c>
      <c r="D62" s="351" t="s">
        <v>1071</v>
      </c>
      <c r="E62" s="351" t="s">
        <v>100</v>
      </c>
      <c r="F62" s="354">
        <v>45901</v>
      </c>
      <c r="G62" s="411" t="s">
        <v>1092</v>
      </c>
      <c r="H62" s="368" t="s">
        <v>1087</v>
      </c>
      <c r="I62" s="363" t="s">
        <v>1035</v>
      </c>
      <c r="J62" s="365"/>
      <c r="K62" s="365"/>
      <c r="L62" s="366" t="s">
        <v>1058</v>
      </c>
    </row>
    <row r="63" spans="1:12" ht="90">
      <c r="A63" s="408" t="s">
        <v>107</v>
      </c>
      <c r="B63" s="350">
        <v>1</v>
      </c>
      <c r="C63" s="350" t="s">
        <v>102</v>
      </c>
      <c r="D63" s="350" t="s">
        <v>368</v>
      </c>
      <c r="E63" s="350" t="s">
        <v>108</v>
      </c>
      <c r="F63" s="353">
        <v>45992</v>
      </c>
      <c r="G63" s="411" t="s">
        <v>1093</v>
      </c>
      <c r="H63" s="368" t="s">
        <v>628</v>
      </c>
      <c r="I63" s="364">
        <v>45905</v>
      </c>
      <c r="J63" s="365"/>
      <c r="K63" s="365"/>
      <c r="L63" s="366" t="s">
        <v>971</v>
      </c>
    </row>
    <row r="64" spans="1:12" ht="30">
      <c r="A64" s="408" t="s">
        <v>107</v>
      </c>
      <c r="B64" s="350"/>
      <c r="C64" s="350"/>
      <c r="D64" s="350"/>
      <c r="E64" s="350"/>
      <c r="F64" s="353"/>
      <c r="G64" s="411" t="s">
        <v>1094</v>
      </c>
      <c r="H64" s="368" t="s">
        <v>1095</v>
      </c>
      <c r="I64" s="364">
        <v>45930</v>
      </c>
      <c r="J64" s="365"/>
      <c r="K64" s="365"/>
      <c r="L64" s="366" t="s">
        <v>974</v>
      </c>
    </row>
    <row r="65" spans="1:12" ht="210">
      <c r="A65" s="408" t="s">
        <v>107</v>
      </c>
      <c r="B65" s="358" t="s">
        <v>1096</v>
      </c>
      <c r="C65" s="356" t="s">
        <v>1097</v>
      </c>
      <c r="D65" s="361">
        <v>45877</v>
      </c>
      <c r="E65" s="362" t="s">
        <v>394</v>
      </c>
      <c r="F65" s="353"/>
      <c r="G65" s="411" t="s">
        <v>1098</v>
      </c>
      <c r="H65" s="368" t="s">
        <v>1099</v>
      </c>
      <c r="I65" s="364" t="s">
        <v>1035</v>
      </c>
      <c r="J65" s="369" t="s">
        <v>394</v>
      </c>
      <c r="K65" s="365"/>
      <c r="L65" s="366" t="s">
        <v>1100</v>
      </c>
    </row>
    <row r="66" spans="1:12" ht="210">
      <c r="A66" s="408" t="s">
        <v>107</v>
      </c>
      <c r="B66" s="358" t="s">
        <v>1096</v>
      </c>
      <c r="C66" s="356" t="s">
        <v>1097</v>
      </c>
      <c r="D66" s="361">
        <v>45877</v>
      </c>
      <c r="E66" s="362" t="s">
        <v>394</v>
      </c>
      <c r="F66" s="353"/>
      <c r="G66" s="411" t="s">
        <v>1101</v>
      </c>
      <c r="H66" s="368" t="s">
        <v>1102</v>
      </c>
      <c r="I66" s="364" t="s">
        <v>1035</v>
      </c>
      <c r="J66" s="369"/>
      <c r="K66" s="365"/>
      <c r="L66" s="366" t="s">
        <v>1103</v>
      </c>
    </row>
    <row r="67" spans="1:12" ht="210">
      <c r="A67" s="408" t="s">
        <v>107</v>
      </c>
      <c r="B67" s="358" t="s">
        <v>1096</v>
      </c>
      <c r="C67" s="356" t="s">
        <v>1097</v>
      </c>
      <c r="D67" s="361">
        <v>45877</v>
      </c>
      <c r="E67" s="362" t="s">
        <v>394</v>
      </c>
      <c r="F67" s="353"/>
      <c r="G67" s="411" t="s">
        <v>1104</v>
      </c>
      <c r="H67" s="368" t="s">
        <v>1099</v>
      </c>
      <c r="I67" s="364" t="s">
        <v>1035</v>
      </c>
      <c r="J67" s="369"/>
      <c r="K67" s="365"/>
      <c r="L67" s="366" t="s">
        <v>1103</v>
      </c>
    </row>
    <row r="68" spans="1:12">
      <c r="A68" s="408" t="s">
        <v>107</v>
      </c>
      <c r="B68" s="350"/>
      <c r="C68" s="350"/>
      <c r="D68" s="415"/>
      <c r="E68" s="350"/>
      <c r="F68" s="353"/>
      <c r="G68" s="411" t="s">
        <v>1105</v>
      </c>
      <c r="H68" s="363" t="s">
        <v>1106</v>
      </c>
      <c r="I68" s="364" t="s">
        <v>1035</v>
      </c>
      <c r="J68" s="365"/>
      <c r="K68" s="365"/>
      <c r="L68" s="366" t="s">
        <v>394</v>
      </c>
    </row>
    <row r="69" spans="1:12" ht="45">
      <c r="A69" s="408" t="s">
        <v>107</v>
      </c>
      <c r="B69" s="350">
        <v>3</v>
      </c>
      <c r="C69" s="350" t="s">
        <v>102</v>
      </c>
      <c r="D69" s="350" t="s">
        <v>368</v>
      </c>
      <c r="E69" s="350" t="s">
        <v>108</v>
      </c>
      <c r="F69" s="353">
        <v>45992</v>
      </c>
      <c r="G69" s="411" t="s">
        <v>1107</v>
      </c>
      <c r="H69" s="368" t="s">
        <v>1108</v>
      </c>
      <c r="I69" s="364">
        <v>45930</v>
      </c>
      <c r="J69" s="365"/>
      <c r="K69" s="365"/>
      <c r="L69" s="366" t="s">
        <v>974</v>
      </c>
    </row>
    <row r="70" spans="1:12" ht="30">
      <c r="A70" s="408" t="s">
        <v>107</v>
      </c>
      <c r="B70" s="350">
        <v>3</v>
      </c>
      <c r="C70" s="350" t="s">
        <v>102</v>
      </c>
      <c r="D70" s="350" t="s">
        <v>368</v>
      </c>
      <c r="E70" s="350" t="s">
        <v>108</v>
      </c>
      <c r="F70" s="353">
        <v>45992</v>
      </c>
      <c r="G70" s="411" t="s">
        <v>1109</v>
      </c>
      <c r="H70" s="368" t="s">
        <v>1110</v>
      </c>
      <c r="I70" s="364">
        <v>45933</v>
      </c>
      <c r="J70" s="365"/>
      <c r="K70" s="365"/>
      <c r="L70" s="366" t="s">
        <v>394</v>
      </c>
    </row>
    <row r="71" spans="1:12" ht="30">
      <c r="A71" s="408" t="s">
        <v>107</v>
      </c>
      <c r="B71" s="351">
        <v>16</v>
      </c>
      <c r="C71" s="351" t="s">
        <v>102</v>
      </c>
      <c r="D71" s="351" t="s">
        <v>368</v>
      </c>
      <c r="E71" s="351" t="s">
        <v>108</v>
      </c>
      <c r="F71" s="354">
        <v>45992</v>
      </c>
      <c r="G71" s="411" t="s">
        <v>1111</v>
      </c>
      <c r="H71" s="368" t="s">
        <v>1112</v>
      </c>
      <c r="I71" s="363" t="s">
        <v>1035</v>
      </c>
      <c r="J71" s="365"/>
      <c r="K71" s="365"/>
      <c r="L71" s="366" t="s">
        <v>394</v>
      </c>
    </row>
    <row r="72" spans="1:12" ht="30">
      <c r="A72" s="408" t="s">
        <v>107</v>
      </c>
      <c r="B72" s="350">
        <v>5</v>
      </c>
      <c r="C72" s="350" t="s">
        <v>102</v>
      </c>
      <c r="D72" s="350" t="s">
        <v>368</v>
      </c>
      <c r="E72" s="350" t="s">
        <v>108</v>
      </c>
      <c r="F72" s="353">
        <v>45992</v>
      </c>
      <c r="G72" s="411" t="s">
        <v>1113</v>
      </c>
      <c r="H72" s="368" t="s">
        <v>1114</v>
      </c>
      <c r="I72" s="364">
        <v>45945</v>
      </c>
      <c r="J72" s="365"/>
      <c r="K72" s="365" t="s">
        <v>1115</v>
      </c>
      <c r="L72" s="366" t="s">
        <v>974</v>
      </c>
    </row>
    <row r="73" spans="1:12" ht="30">
      <c r="A73" s="408" t="s">
        <v>107</v>
      </c>
      <c r="B73" s="350">
        <v>5</v>
      </c>
      <c r="C73" s="350" t="s">
        <v>102</v>
      </c>
      <c r="D73" s="350" t="s">
        <v>368</v>
      </c>
      <c r="E73" s="350" t="s">
        <v>108</v>
      </c>
      <c r="F73" s="353">
        <v>45992</v>
      </c>
      <c r="G73" s="411" t="s">
        <v>1116</v>
      </c>
      <c r="H73" s="368" t="s">
        <v>1117</v>
      </c>
      <c r="I73" s="364">
        <v>45947</v>
      </c>
      <c r="J73" s="365"/>
      <c r="K73" s="365" t="s">
        <v>1115</v>
      </c>
      <c r="L73" s="366" t="s">
        <v>394</v>
      </c>
    </row>
    <row r="74" spans="1:12" ht="30">
      <c r="A74" s="408" t="s">
        <v>107</v>
      </c>
      <c r="B74" s="351">
        <v>6</v>
      </c>
      <c r="C74" s="351" t="s">
        <v>102</v>
      </c>
      <c r="D74" s="351" t="s">
        <v>368</v>
      </c>
      <c r="E74" s="351" t="s">
        <v>108</v>
      </c>
      <c r="F74" s="354">
        <v>45992</v>
      </c>
      <c r="G74" s="411" t="s">
        <v>1118</v>
      </c>
      <c r="H74" s="368" t="s">
        <v>1099</v>
      </c>
      <c r="I74" s="364" t="s">
        <v>1035</v>
      </c>
      <c r="J74" s="365"/>
      <c r="K74" s="365" t="s">
        <v>1115</v>
      </c>
      <c r="L74" s="366" t="s">
        <v>1103</v>
      </c>
    </row>
    <row r="75" spans="1:12">
      <c r="A75" s="408" t="s">
        <v>107</v>
      </c>
      <c r="B75" s="350">
        <v>13</v>
      </c>
      <c r="C75" s="350" t="s">
        <v>102</v>
      </c>
      <c r="D75" s="350" t="s">
        <v>368</v>
      </c>
      <c r="E75" s="350" t="s">
        <v>108</v>
      </c>
      <c r="F75" s="353">
        <v>45992</v>
      </c>
      <c r="G75" s="411" t="s">
        <v>1119</v>
      </c>
      <c r="H75" s="368" t="s">
        <v>1120</v>
      </c>
      <c r="I75" s="364">
        <v>45926</v>
      </c>
      <c r="J75" s="365"/>
      <c r="K75" s="365"/>
      <c r="L75" s="366" t="s">
        <v>394</v>
      </c>
    </row>
    <row r="76" spans="1:12" ht="30">
      <c r="A76" s="408" t="s">
        <v>107</v>
      </c>
      <c r="B76" s="350">
        <v>13</v>
      </c>
      <c r="C76" s="350" t="s">
        <v>102</v>
      </c>
      <c r="D76" s="350" t="s">
        <v>368</v>
      </c>
      <c r="E76" s="350" t="s">
        <v>108</v>
      </c>
      <c r="F76" s="353">
        <v>45992</v>
      </c>
      <c r="G76" s="411" t="s">
        <v>1121</v>
      </c>
      <c r="H76" s="368" t="s">
        <v>1122</v>
      </c>
      <c r="I76" s="364">
        <v>45926</v>
      </c>
      <c r="J76" s="365"/>
      <c r="K76" s="365"/>
      <c r="L76" s="366" t="s">
        <v>394</v>
      </c>
    </row>
    <row r="77" spans="1:12">
      <c r="A77" s="408" t="s">
        <v>107</v>
      </c>
      <c r="B77" s="351">
        <v>14</v>
      </c>
      <c r="C77" s="351" t="s">
        <v>102</v>
      </c>
      <c r="D77" s="351" t="s">
        <v>368</v>
      </c>
      <c r="E77" s="351" t="s">
        <v>108</v>
      </c>
      <c r="F77" s="354">
        <v>45992</v>
      </c>
      <c r="G77" s="411" t="s">
        <v>1123</v>
      </c>
      <c r="H77" s="368" t="s">
        <v>1124</v>
      </c>
      <c r="I77" s="364" t="s">
        <v>1035</v>
      </c>
      <c r="J77" s="365"/>
      <c r="K77" s="365" t="s">
        <v>1125</v>
      </c>
      <c r="L77" s="366" t="s">
        <v>394</v>
      </c>
    </row>
    <row r="78" spans="1:12" ht="30">
      <c r="A78" s="409" t="s">
        <v>277</v>
      </c>
      <c r="B78" s="351">
        <v>6</v>
      </c>
      <c r="C78" s="351" t="s">
        <v>286</v>
      </c>
      <c r="D78" s="351" t="s">
        <v>114</v>
      </c>
      <c r="E78" s="351" t="s">
        <v>1126</v>
      </c>
      <c r="F78" s="354">
        <v>45901</v>
      </c>
      <c r="G78" s="411" t="s">
        <v>1127</v>
      </c>
      <c r="H78" s="363" t="s">
        <v>1128</v>
      </c>
      <c r="I78" s="363" t="s">
        <v>1129</v>
      </c>
      <c r="J78" s="365"/>
      <c r="K78" s="365"/>
      <c r="L78" s="366" t="s">
        <v>1130</v>
      </c>
    </row>
    <row r="79" spans="1:12" ht="30">
      <c r="A79" s="409" t="s">
        <v>277</v>
      </c>
      <c r="B79" s="350">
        <v>7</v>
      </c>
      <c r="C79" s="350" t="s">
        <v>286</v>
      </c>
      <c r="D79" s="350" t="s">
        <v>114</v>
      </c>
      <c r="E79" s="350" t="s">
        <v>1126</v>
      </c>
      <c r="F79" s="353">
        <v>45901</v>
      </c>
      <c r="G79" s="411" t="s">
        <v>1131</v>
      </c>
      <c r="H79" s="363" t="s">
        <v>1128</v>
      </c>
      <c r="I79" s="363" t="s">
        <v>1132</v>
      </c>
      <c r="J79" s="365"/>
      <c r="K79" s="365"/>
      <c r="L79" s="366" t="s">
        <v>1130</v>
      </c>
    </row>
    <row r="80" spans="1:12">
      <c r="A80" s="409" t="s">
        <v>277</v>
      </c>
      <c r="B80" s="351">
        <v>8</v>
      </c>
      <c r="C80" s="351" t="s">
        <v>286</v>
      </c>
      <c r="D80" s="351" t="s">
        <v>114</v>
      </c>
      <c r="E80" s="351" t="s">
        <v>1126</v>
      </c>
      <c r="F80" s="354">
        <v>45901</v>
      </c>
      <c r="G80" s="411" t="s">
        <v>1133</v>
      </c>
      <c r="H80" s="363" t="s">
        <v>1128</v>
      </c>
      <c r="I80" s="363" t="s">
        <v>1134</v>
      </c>
      <c r="J80" s="365"/>
      <c r="K80" s="365"/>
      <c r="L80" s="366" t="s">
        <v>1130</v>
      </c>
    </row>
    <row r="81" spans="1:12" ht="30">
      <c r="A81" s="409" t="s">
        <v>277</v>
      </c>
      <c r="B81" s="350">
        <v>9</v>
      </c>
      <c r="C81" s="350" t="s">
        <v>286</v>
      </c>
      <c r="D81" s="350" t="s">
        <v>114</v>
      </c>
      <c r="E81" s="350" t="s">
        <v>1126</v>
      </c>
      <c r="F81" s="353">
        <v>45901</v>
      </c>
      <c r="G81" s="411" t="s">
        <v>1135</v>
      </c>
      <c r="H81" s="363" t="s">
        <v>1128</v>
      </c>
      <c r="I81" s="363" t="s">
        <v>1136</v>
      </c>
      <c r="J81" s="365"/>
      <c r="K81" s="365"/>
      <c r="L81" s="366" t="s">
        <v>971</v>
      </c>
    </row>
    <row r="82" spans="1:12">
      <c r="A82" s="409" t="s">
        <v>277</v>
      </c>
      <c r="B82" s="350">
        <v>9</v>
      </c>
      <c r="C82" s="350" t="s">
        <v>286</v>
      </c>
      <c r="D82" s="350" t="s">
        <v>114</v>
      </c>
      <c r="E82" s="350" t="s">
        <v>1126</v>
      </c>
      <c r="F82" s="353">
        <v>45901</v>
      </c>
      <c r="G82" s="411" t="s">
        <v>1137</v>
      </c>
      <c r="H82" s="363" t="s">
        <v>1138</v>
      </c>
      <c r="I82" s="364">
        <v>45912</v>
      </c>
      <c r="J82" s="365"/>
      <c r="K82" s="365"/>
      <c r="L82" s="366" t="s">
        <v>974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43D17-8A73-46CD-A453-7468FFD8C1E5}">
  <dimension ref="A1:AC22"/>
  <sheetViews>
    <sheetView showGridLines="0" zoomScale="70" zoomScaleNormal="70" workbookViewId="0">
      <pane xSplit="3" ySplit="3" topLeftCell="D15" activePane="bottomRight" state="frozen"/>
      <selection pane="bottomRight" activeCell="C15" sqref="C15"/>
      <selection pane="bottomLeft" activeCell="A2" sqref="A2"/>
      <selection pane="topRight" activeCell="D1" sqref="D1"/>
    </sheetView>
  </sheetViews>
  <sheetFormatPr defaultColWidth="11.42578125" defaultRowHeight="15"/>
  <cols>
    <col min="1" max="1" width="27.28515625" customWidth="1"/>
    <col min="2" max="2" width="6" style="25" customWidth="1"/>
    <col min="3" max="3" width="35.42578125" customWidth="1"/>
    <col min="4" max="4" width="11.7109375" style="10" customWidth="1"/>
    <col min="5" max="5" width="16.28515625" style="10" customWidth="1"/>
    <col min="6" max="6" width="13.140625" style="10" customWidth="1"/>
    <col min="7" max="7" width="13.42578125" style="10" customWidth="1"/>
    <col min="8" max="8" width="14.85546875" customWidth="1"/>
    <col min="9" max="9" width="13.42578125" style="10" customWidth="1"/>
    <col min="10" max="10" width="13.42578125" customWidth="1"/>
    <col min="11" max="11" width="11.140625" style="28" customWidth="1"/>
    <col min="12" max="12" width="9.7109375" customWidth="1"/>
    <col min="13" max="13" width="12.28515625" customWidth="1"/>
    <col min="14" max="14" width="10" style="10" customWidth="1"/>
    <col min="15" max="16" width="9.7109375" style="10" hidden="1" customWidth="1"/>
    <col min="17" max="17" width="2.140625" style="36" customWidth="1"/>
    <col min="18" max="20" width="9.7109375" style="10" customWidth="1"/>
    <col min="21" max="21" width="9.7109375" style="10" hidden="1" customWidth="1"/>
    <col min="22" max="22" width="9.7109375" style="10" customWidth="1"/>
    <col min="23" max="23" width="9.7109375" style="10" hidden="1" customWidth="1"/>
    <col min="24" max="24" width="22.7109375" style="10" customWidth="1"/>
    <col min="25" max="25" width="11.28515625" bestFit="1" customWidth="1"/>
    <col min="26" max="26" width="8.7109375" bestFit="1" customWidth="1"/>
  </cols>
  <sheetData>
    <row r="1" spans="1:29">
      <c r="B1" s="51" t="s">
        <v>1139</v>
      </c>
      <c r="C1" s="27">
        <f ca="1">TODAY()</f>
        <v>46161</v>
      </c>
    </row>
    <row r="2" spans="1:29" ht="15.75" thickBot="1">
      <c r="D2" s="323"/>
      <c r="H2" s="530"/>
      <c r="I2" s="530"/>
      <c r="J2" s="530"/>
      <c r="N2" s="529" t="s">
        <v>1140</v>
      </c>
      <c r="O2" s="529"/>
      <c r="P2" s="529"/>
      <c r="Q2" s="529"/>
      <c r="R2" s="529"/>
      <c r="S2" s="529"/>
      <c r="T2" s="529"/>
      <c r="U2" s="529"/>
      <c r="V2" s="529"/>
      <c r="W2" s="529"/>
      <c r="X2" s="529"/>
    </row>
    <row r="3" spans="1:29" ht="31.5">
      <c r="A3" s="1" t="s">
        <v>1141</v>
      </c>
      <c r="B3" s="6" t="s">
        <v>0</v>
      </c>
      <c r="C3" s="1" t="s">
        <v>347</v>
      </c>
      <c r="D3" s="6" t="s">
        <v>1142</v>
      </c>
      <c r="E3" s="6" t="s">
        <v>5</v>
      </c>
      <c r="F3" s="6" t="s">
        <v>1143</v>
      </c>
      <c r="G3" s="6" t="s">
        <v>1144</v>
      </c>
      <c r="H3" s="52" t="s">
        <v>1145</v>
      </c>
      <c r="I3" s="53" t="s">
        <v>1146</v>
      </c>
      <c r="J3" s="53" t="s">
        <v>1147</v>
      </c>
      <c r="K3" s="29" t="s">
        <v>1148</v>
      </c>
      <c r="L3" s="6" t="s">
        <v>1149</v>
      </c>
      <c r="M3" s="54" t="s">
        <v>1150</v>
      </c>
      <c r="N3" s="33" t="s">
        <v>1151</v>
      </c>
      <c r="O3" s="34" t="s">
        <v>1152</v>
      </c>
      <c r="P3" s="34" t="s">
        <v>1153</v>
      </c>
      <c r="Q3" s="41"/>
      <c r="R3" s="34" t="s">
        <v>1154</v>
      </c>
      <c r="S3" s="34" t="s">
        <v>1155</v>
      </c>
      <c r="T3" s="34" t="s">
        <v>1156</v>
      </c>
      <c r="U3" s="34" t="s">
        <v>1157</v>
      </c>
      <c r="V3" s="35" t="s">
        <v>1158</v>
      </c>
      <c r="W3" s="15" t="s">
        <v>1159</v>
      </c>
      <c r="X3" s="6" t="s">
        <v>1160</v>
      </c>
    </row>
    <row r="4" spans="1:29" ht="27" customHeight="1">
      <c r="A4" s="526" t="s">
        <v>34</v>
      </c>
      <c r="B4" s="22">
        <v>1</v>
      </c>
      <c r="C4" s="2" t="s">
        <v>87</v>
      </c>
      <c r="D4" s="14">
        <f>COUNTIF(DemandaEstrateg_[Cartera],Resumen!C4)</f>
        <v>13</v>
      </c>
      <c r="E4" s="7" t="s">
        <v>1009</v>
      </c>
      <c r="F4" s="8" t="s">
        <v>88</v>
      </c>
      <c r="G4" s="7">
        <v>2025</v>
      </c>
      <c r="H4" s="12">
        <v>45717</v>
      </c>
      <c r="I4" s="11">
        <f>VLOOKUP(Resumen!C4,Tabla3[[Cartera]:[% Avance ejecutado]],6,FALSE)</f>
        <v>0.76</v>
      </c>
      <c r="J4" s="11">
        <f>VLOOKUP(Resumen!C4,Tabla3[[Cartera]:[% Avance ejecutado]],7,FALSE)</f>
        <v>0.71</v>
      </c>
      <c r="K4" s="16">
        <f>(J4-I4)/I4</f>
        <v>-6.5789473684210578E-2</v>
      </c>
      <c r="L4" s="17">
        <f t="shared" ref="L4:L17" ca="1" si="0">H4-$C$1</f>
        <v>-444</v>
      </c>
      <c r="M4" s="31" t="str">
        <f t="shared" ref="M4:M17" ca="1" si="1">IF(L4&lt;=0,$AB$4,IF(L4&lt;=H4,$AB$6,$AB$5))</f>
        <v>Con Retraso</v>
      </c>
      <c r="N4" s="50">
        <v>12</v>
      </c>
      <c r="O4" s="41"/>
      <c r="P4" s="41"/>
      <c r="Q4" s="41"/>
      <c r="R4" s="50"/>
      <c r="S4" s="50"/>
      <c r="T4" s="50"/>
      <c r="U4" s="50"/>
      <c r="V4" s="50"/>
      <c r="W4" s="32"/>
      <c r="X4" s="372" t="str">
        <f>VLOOKUP(C4,'Portafolio P&amp;D'!V$3:AD$43,9,FALSE)</f>
        <v>02. En Curso</v>
      </c>
      <c r="AB4" s="19" t="s">
        <v>1161</v>
      </c>
      <c r="AC4" t="s">
        <v>1162</v>
      </c>
    </row>
    <row r="5" spans="1:29" ht="27" customHeight="1">
      <c r="A5" s="527"/>
      <c r="B5" s="22">
        <v>2</v>
      </c>
      <c r="C5" s="2" t="s">
        <v>71</v>
      </c>
      <c r="D5" s="14">
        <f>COUNTIF(DemandaEstrateg_[Cartera],Resumen!C5)</f>
        <v>2</v>
      </c>
      <c r="E5" s="7" t="s">
        <v>65</v>
      </c>
      <c r="F5" s="8" t="s">
        <v>81</v>
      </c>
      <c r="G5" s="7">
        <v>2026</v>
      </c>
      <c r="H5" s="12">
        <v>46023</v>
      </c>
      <c r="I5" s="11">
        <f>VLOOKUP(Resumen!C5,Tabla3[[Cartera]:[% Avance ejecutado]],6,FALSE)</f>
        <v>0.88</v>
      </c>
      <c r="J5" s="11">
        <f>VLOOKUP(Resumen!C5,Tabla3[[Cartera]:[% Avance ejecutado]],7,FALSE)</f>
        <v>0.85</v>
      </c>
      <c r="K5" s="16">
        <f t="shared" ref="K5:K17" si="2">(J5-I5)/I5</f>
        <v>-3.4090909090909123E-2</v>
      </c>
      <c r="L5" s="17">
        <f t="shared" ca="1" si="0"/>
        <v>-138</v>
      </c>
      <c r="M5" s="31" t="str">
        <f t="shared" ca="1" si="1"/>
        <v>Con Retraso</v>
      </c>
      <c r="N5" s="50">
        <v>0</v>
      </c>
      <c r="O5" s="42"/>
      <c r="P5" s="42"/>
      <c r="Q5" s="42"/>
      <c r="R5" s="50"/>
      <c r="S5" s="50"/>
      <c r="T5" s="50">
        <v>1</v>
      </c>
      <c r="U5" s="50"/>
      <c r="V5" s="50"/>
      <c r="W5" s="32"/>
      <c r="X5" s="372" t="str">
        <f>VLOOKUP(C5,'Portafolio P&amp;D'!V$3:AD$43,9,FALSE)</f>
        <v>02. En Curso</v>
      </c>
      <c r="AB5" s="20" t="s">
        <v>1163</v>
      </c>
      <c r="AC5" t="s">
        <v>1164</v>
      </c>
    </row>
    <row r="6" spans="1:29" ht="27" customHeight="1">
      <c r="A6" s="527"/>
      <c r="B6" s="22">
        <v>3</v>
      </c>
      <c r="C6" s="2" t="s">
        <v>270</v>
      </c>
      <c r="D6" s="14">
        <f>COUNTIF(DemandaEstrateg_[Cartera],Resumen!C6)</f>
        <v>1</v>
      </c>
      <c r="E6" s="7" t="s">
        <v>66</v>
      </c>
      <c r="F6" s="8" t="s">
        <v>610</v>
      </c>
      <c r="G6" s="7">
        <v>2025</v>
      </c>
      <c r="H6" s="12">
        <v>45962</v>
      </c>
      <c r="I6" s="11">
        <f>VLOOKUP(Resumen!C6,Tabla3[[Cartera]:[% Avance ejecutado]],6,FALSE)</f>
        <v>1</v>
      </c>
      <c r="J6" s="11">
        <f>VLOOKUP(Resumen!C6,Tabla3[[Cartera]:[% Avance ejecutado]],7,FALSE)</f>
        <v>1</v>
      </c>
      <c r="K6" s="16">
        <f t="shared" si="2"/>
        <v>0</v>
      </c>
      <c r="L6" s="17">
        <f t="shared" ca="1" si="0"/>
        <v>-199</v>
      </c>
      <c r="M6" s="31" t="str">
        <f t="shared" ca="1" si="1"/>
        <v>Con Retraso</v>
      </c>
      <c r="N6" s="50">
        <v>2</v>
      </c>
      <c r="O6" s="42"/>
      <c r="P6" s="42"/>
      <c r="Q6" s="42"/>
      <c r="R6" s="50">
        <v>2</v>
      </c>
      <c r="S6" s="50">
        <v>1</v>
      </c>
      <c r="T6" s="50"/>
      <c r="U6" s="50"/>
      <c r="V6" s="50"/>
      <c r="W6" s="50"/>
      <c r="X6" s="372" t="str">
        <f>VLOOKUP(C6,'Portafolio P&amp;D'!V$3:AD$43,9,FALSE)</f>
        <v>02. En Curso</v>
      </c>
      <c r="AB6" s="21" t="s">
        <v>1165</v>
      </c>
      <c r="AC6" t="s">
        <v>1166</v>
      </c>
    </row>
    <row r="7" spans="1:29" ht="27" customHeight="1">
      <c r="A7" s="527"/>
      <c r="B7" s="22">
        <v>4</v>
      </c>
      <c r="C7" s="2" t="s">
        <v>80</v>
      </c>
      <c r="D7" s="14">
        <f>COUNTIF(DemandaEstrateg_[Cartera],Resumen!C7)</f>
        <v>2</v>
      </c>
      <c r="E7" s="7" t="s">
        <v>78</v>
      </c>
      <c r="F7" s="8" t="s">
        <v>81</v>
      </c>
      <c r="G7" s="7">
        <v>2026</v>
      </c>
      <c r="H7" s="12">
        <v>46266</v>
      </c>
      <c r="I7" s="11">
        <f>VLOOKUP(Resumen!C7,Tabla3[[Cartera]:[% Avance ejecutado]],6,FALSE)</f>
        <v>0.87</v>
      </c>
      <c r="J7" s="11">
        <f>VLOOKUP(Resumen!C7,Tabla3[[Cartera]:[% Avance ejecutado]],7,FALSE)</f>
        <v>0.84</v>
      </c>
      <c r="K7" s="16">
        <f t="shared" si="2"/>
        <v>-3.4482758620689689E-2</v>
      </c>
      <c r="L7" s="17">
        <f t="shared" ca="1" si="0"/>
        <v>105</v>
      </c>
      <c r="M7" s="31" t="str">
        <f t="shared" ca="1" si="1"/>
        <v>A tiempo</v>
      </c>
      <c r="N7" s="50">
        <v>0</v>
      </c>
      <c r="O7" s="42"/>
      <c r="P7" s="42"/>
      <c r="Q7" s="42"/>
      <c r="R7" s="50"/>
      <c r="S7" s="50"/>
      <c r="T7" s="50"/>
      <c r="U7" s="50"/>
      <c r="V7" s="50">
        <v>1</v>
      </c>
      <c r="W7" s="50"/>
      <c r="X7" s="372" t="str">
        <f>VLOOKUP(C7,'Portafolio P&amp;D'!V$3:AD$43,9,FALSE)</f>
        <v>02. En Curso</v>
      </c>
    </row>
    <row r="8" spans="1:29" ht="27" customHeight="1">
      <c r="A8" s="528"/>
      <c r="B8" s="22">
        <v>5</v>
      </c>
      <c r="C8" s="2" t="s">
        <v>1167</v>
      </c>
      <c r="D8" s="14">
        <f>COUNTIF(DemandaEstrateg_[Cartera],Resumen!C8)</f>
        <v>3</v>
      </c>
      <c r="E8" s="7" t="s">
        <v>1168</v>
      </c>
      <c r="F8" s="8" t="s">
        <v>225</v>
      </c>
      <c r="G8" s="7">
        <v>2026</v>
      </c>
      <c r="H8" s="12">
        <v>46204</v>
      </c>
      <c r="I8" s="11">
        <f>VLOOKUP(Resumen!C8,Tabla3[[Cartera]:[% Avance ejecutado]],6,FALSE)</f>
        <v>0.52</v>
      </c>
      <c r="J8" s="11">
        <f>VLOOKUP(Resumen!C8,Tabla3[[Cartera]:[% Avance ejecutado]],7,FALSE)</f>
        <v>0.36</v>
      </c>
      <c r="K8" s="16">
        <f t="shared" si="2"/>
        <v>-0.30769230769230776</v>
      </c>
      <c r="L8" s="17">
        <f t="shared" ca="1" si="0"/>
        <v>43</v>
      </c>
      <c r="M8" s="31" t="str">
        <f t="shared" ca="1" si="1"/>
        <v>A tiempo</v>
      </c>
      <c r="N8" s="50">
        <v>0</v>
      </c>
      <c r="O8" s="42"/>
      <c r="P8" s="42"/>
      <c r="Q8" s="42"/>
      <c r="R8" s="50"/>
      <c r="S8" s="50"/>
      <c r="T8" s="50"/>
      <c r="U8" s="50"/>
      <c r="V8" s="50">
        <v>1</v>
      </c>
      <c r="W8" s="50"/>
      <c r="X8" s="372" t="str">
        <f>VLOOKUP(C8,'Portafolio P&amp;D'!V$3:AD$43,9,FALSE)</f>
        <v>02. En Curso</v>
      </c>
    </row>
    <row r="9" spans="1:29" ht="27" customHeight="1">
      <c r="A9" s="526" t="s">
        <v>128</v>
      </c>
      <c r="B9" s="22">
        <v>6</v>
      </c>
      <c r="C9" s="2" t="s">
        <v>151</v>
      </c>
      <c r="D9" s="14">
        <f>COUNTIF(DemandaEstrateg_[Cartera],Resumen!C9)</f>
        <v>4</v>
      </c>
      <c r="E9" s="7" t="s">
        <v>149</v>
      </c>
      <c r="F9" s="8" t="s">
        <v>1169</v>
      </c>
      <c r="G9" s="7">
        <v>2025</v>
      </c>
      <c r="H9" s="12">
        <v>45809</v>
      </c>
      <c r="I9" s="11">
        <f>VLOOKUP(Resumen!C9,Tabla3[[Cartera]:[% Avance ejecutado]],6,FALSE)</f>
        <v>1</v>
      </c>
      <c r="J9" s="11">
        <f>VLOOKUP(Resumen!C9,Tabla3[[Cartera]:[% Avance ejecutado]],7,FALSE)</f>
        <v>1</v>
      </c>
      <c r="K9" s="16">
        <f t="shared" si="2"/>
        <v>0</v>
      </c>
      <c r="L9" s="17">
        <f t="shared" ca="1" si="0"/>
        <v>-352</v>
      </c>
      <c r="M9" s="31" t="str">
        <f t="shared" ca="1" si="1"/>
        <v>Con Retraso</v>
      </c>
      <c r="N9" s="50">
        <v>6</v>
      </c>
      <c r="O9" s="42"/>
      <c r="P9" s="42"/>
      <c r="Q9" s="42"/>
      <c r="R9" s="50"/>
      <c r="S9" s="50"/>
      <c r="T9" s="50"/>
      <c r="U9" s="50"/>
      <c r="V9" s="50"/>
      <c r="W9" s="50"/>
      <c r="X9" s="372" t="str">
        <f>VLOOKUP(C9,'Portafolio P&amp;D'!V$3:AD$43,9,FALSE)</f>
        <v>03. Implementado</v>
      </c>
    </row>
    <row r="10" spans="1:29" ht="27" customHeight="1">
      <c r="A10" s="527"/>
      <c r="B10" s="22">
        <v>7</v>
      </c>
      <c r="C10" s="2" t="s">
        <v>263</v>
      </c>
      <c r="D10" s="14">
        <f>COUNTIF(DemandaEstrateg_[Cartera],Resumen!C10)</f>
        <v>5</v>
      </c>
      <c r="E10" s="7" t="s">
        <v>149</v>
      </c>
      <c r="F10" s="8" t="s">
        <v>132</v>
      </c>
      <c r="G10" s="7">
        <v>2026</v>
      </c>
      <c r="H10" s="12">
        <v>46082</v>
      </c>
      <c r="I10" s="11">
        <f>VLOOKUP(Resumen!C10,Tabla3[[Cartera]:[% Avance ejecutado]],6,FALSE)</f>
        <v>0.63</v>
      </c>
      <c r="J10" s="11">
        <f>VLOOKUP(Resumen!C10,Tabla3[[Cartera]:[% Avance ejecutado]],7,FALSE)</f>
        <v>0.57999999999999996</v>
      </c>
      <c r="K10" s="16">
        <f t="shared" si="2"/>
        <v>-7.936507936507943E-2</v>
      </c>
      <c r="L10" s="17">
        <f t="shared" ca="1" si="0"/>
        <v>-79</v>
      </c>
      <c r="M10" s="31" t="str">
        <f t="shared" ca="1" si="1"/>
        <v>Con Retraso</v>
      </c>
      <c r="N10" s="50">
        <v>0</v>
      </c>
      <c r="O10" s="42"/>
      <c r="P10" s="42"/>
      <c r="Q10" s="42"/>
      <c r="R10" s="50">
        <v>2</v>
      </c>
      <c r="S10" s="50"/>
      <c r="T10" s="50">
        <v>2</v>
      </c>
      <c r="U10" s="50"/>
      <c r="V10" s="50"/>
      <c r="W10" s="50"/>
      <c r="X10" s="372" t="str">
        <f>VLOOKUP(C10,'Portafolio P&amp;D'!V$3:AD$43,9,FALSE)</f>
        <v>02. En Curso</v>
      </c>
    </row>
    <row r="11" spans="1:29" ht="27" customHeight="1">
      <c r="A11" s="528"/>
      <c r="B11" s="22">
        <v>8</v>
      </c>
      <c r="C11" s="2" t="s">
        <v>289</v>
      </c>
      <c r="D11" s="14">
        <f>COUNTIF(DemandaEstrateg_[Cartera],Resumen!C11)</f>
        <v>1</v>
      </c>
      <c r="E11" s="7" t="s">
        <v>149</v>
      </c>
      <c r="F11" s="8" t="s">
        <v>132</v>
      </c>
      <c r="G11" s="7">
        <v>2025</v>
      </c>
      <c r="H11" s="12">
        <v>45992</v>
      </c>
      <c r="I11" s="11">
        <f>VLOOKUP(Resumen!C11,Tabla3[[Cartera]:[% Avance ejecutado]],6,FALSE)</f>
        <v>0.57999999999999996</v>
      </c>
      <c r="J11" s="11">
        <f>VLOOKUP(Resumen!C11,Tabla3[[Cartera]:[% Avance ejecutado]],7,FALSE)</f>
        <v>0.45</v>
      </c>
      <c r="K11" s="16">
        <f t="shared" si="2"/>
        <v>-0.22413793103448268</v>
      </c>
      <c r="L11" s="17">
        <f t="shared" ca="1" si="0"/>
        <v>-169</v>
      </c>
      <c r="M11" s="31" t="str">
        <f t="shared" ca="1" si="1"/>
        <v>Con Retraso</v>
      </c>
      <c r="N11" s="50">
        <v>0</v>
      </c>
      <c r="O11" s="42"/>
      <c r="P11" s="42"/>
      <c r="Q11" s="42"/>
      <c r="R11" s="50">
        <v>1</v>
      </c>
      <c r="S11" s="50"/>
      <c r="T11" s="50"/>
      <c r="U11" s="50"/>
      <c r="V11" s="50"/>
      <c r="W11" s="50"/>
      <c r="X11" s="372" t="str">
        <f>VLOOKUP(C11,'Portafolio P&amp;D'!V$3:AD$43,9,FALSE)</f>
        <v>04. Cerrado</v>
      </c>
    </row>
    <row r="12" spans="1:29" ht="44.45" customHeight="1">
      <c r="A12" s="3" t="s">
        <v>1170</v>
      </c>
      <c r="B12" s="23">
        <v>9</v>
      </c>
      <c r="C12" s="2" t="s">
        <v>244</v>
      </c>
      <c r="D12" s="14">
        <f>COUNTIF(DemandaEstrateg_[Cartera],Resumen!C12)</f>
        <v>1</v>
      </c>
      <c r="E12" s="7" t="s">
        <v>1171</v>
      </c>
      <c r="F12" s="8" t="s">
        <v>1066</v>
      </c>
      <c r="G12" s="7">
        <v>2025</v>
      </c>
      <c r="H12" s="12">
        <v>45748</v>
      </c>
      <c r="I12" s="11">
        <f>VLOOKUP(Resumen!C12,Tabla3[[Cartera]:[% Avance ejecutado]],6,FALSE)</f>
        <v>0.86</v>
      </c>
      <c r="J12" s="11">
        <f>VLOOKUP(Resumen!C12,Tabla3[[Cartera]:[% Avance ejecutado]],7,FALSE)</f>
        <v>0.84</v>
      </c>
      <c r="K12" s="16">
        <f t="shared" si="2"/>
        <v>-2.3255813953488393E-2</v>
      </c>
      <c r="L12" s="17">
        <f t="shared" ca="1" si="0"/>
        <v>-413</v>
      </c>
      <c r="M12" s="31" t="str">
        <f t="shared" ca="1" si="1"/>
        <v>Con Retraso</v>
      </c>
      <c r="N12" s="50">
        <v>7</v>
      </c>
      <c r="O12" s="42"/>
      <c r="P12" s="42"/>
      <c r="Q12" s="42"/>
      <c r="R12" s="50"/>
      <c r="S12" s="50"/>
      <c r="T12" s="50"/>
      <c r="U12" s="50"/>
      <c r="V12" s="50"/>
      <c r="W12" s="50"/>
      <c r="X12" s="372" t="str">
        <f>VLOOKUP(C12,'Portafolio P&amp;D'!V$3:AD$43,9,FALSE)</f>
        <v>04. Cerrado</v>
      </c>
    </row>
    <row r="13" spans="1:29" ht="27" customHeight="1">
      <c r="A13" s="3" t="s">
        <v>93</v>
      </c>
      <c r="B13" s="23">
        <v>10</v>
      </c>
      <c r="C13" s="2" t="s">
        <v>99</v>
      </c>
      <c r="D13" s="14">
        <f>COUNTIF(DemandaEstrateg_[Cartera],Resumen!C13)</f>
        <v>2</v>
      </c>
      <c r="E13" s="7" t="s">
        <v>1071</v>
      </c>
      <c r="F13" s="8" t="s">
        <v>100</v>
      </c>
      <c r="G13" s="7">
        <v>2025</v>
      </c>
      <c r="H13" s="12">
        <v>45839</v>
      </c>
      <c r="I13" s="11">
        <f>VLOOKUP(Resumen!C13,Tabla3[[Cartera]:[% Avance ejecutado]],6,FALSE)</f>
        <v>0.97</v>
      </c>
      <c r="J13" s="11">
        <f>VLOOKUP(Resumen!C13,Tabla3[[Cartera]:[% Avance ejecutado]],7,FALSE)</f>
        <v>0.97</v>
      </c>
      <c r="K13" s="16">
        <f t="shared" si="2"/>
        <v>0</v>
      </c>
      <c r="L13" s="17">
        <f t="shared" ca="1" si="0"/>
        <v>-322</v>
      </c>
      <c r="M13" s="31" t="str">
        <f t="shared" ca="1" si="1"/>
        <v>Con Retraso</v>
      </c>
      <c r="N13" s="50">
        <v>2</v>
      </c>
      <c r="O13" s="42"/>
      <c r="P13" s="42"/>
      <c r="Q13" s="42"/>
      <c r="R13" s="50"/>
      <c r="S13" s="50"/>
      <c r="T13" s="50"/>
      <c r="U13" s="50"/>
      <c r="V13" s="50"/>
      <c r="W13" s="50"/>
      <c r="X13" s="372" t="str">
        <f>VLOOKUP(C13,'Portafolio P&amp;D'!V$3:AD$43,9,FALSE)</f>
        <v>02. En Curso</v>
      </c>
    </row>
    <row r="14" spans="1:29" ht="27" customHeight="1">
      <c r="A14" s="3" t="s">
        <v>1172</v>
      </c>
      <c r="B14" s="23">
        <v>11</v>
      </c>
      <c r="C14" s="2" t="s">
        <v>107</v>
      </c>
      <c r="D14" s="14">
        <f>COUNTIF(DemandaEstrateg_[Cartera],Resumen!C14)</f>
        <v>41</v>
      </c>
      <c r="E14" s="7" t="s">
        <v>368</v>
      </c>
      <c r="F14" s="8" t="s">
        <v>108</v>
      </c>
      <c r="G14" s="7">
        <v>2025</v>
      </c>
      <c r="H14" s="12">
        <v>45809</v>
      </c>
      <c r="I14" s="11">
        <f>VLOOKUP(Resumen!C14,Tabla3[[Cartera]:[% Avance ejecutado]],6,FALSE)</f>
        <v>0</v>
      </c>
      <c r="J14" s="11">
        <f>VLOOKUP(Resumen!C14,Tabla3[[Cartera]:[% Avance ejecutado]],7,FALSE)</f>
        <v>0</v>
      </c>
      <c r="K14" s="16" t="e">
        <f t="shared" si="2"/>
        <v>#DIV/0!</v>
      </c>
      <c r="L14" s="17">
        <f t="shared" ca="1" si="0"/>
        <v>-352</v>
      </c>
      <c r="M14" s="31" t="str">
        <f t="shared" ca="1" si="1"/>
        <v>Con Retraso</v>
      </c>
      <c r="N14" s="50">
        <v>33</v>
      </c>
      <c r="O14" s="42"/>
      <c r="P14" s="42"/>
      <c r="Q14" s="42"/>
      <c r="R14" s="50"/>
      <c r="S14" s="50"/>
      <c r="T14" s="50"/>
      <c r="U14" s="50"/>
      <c r="V14" s="50"/>
      <c r="W14" s="50"/>
      <c r="X14" s="372" t="str">
        <f>VLOOKUP(C14,'Portafolio P&amp;D'!V$3:AD$43,9,FALSE)</f>
        <v>02. En Curso</v>
      </c>
    </row>
    <row r="15" spans="1:29" ht="27" customHeight="1">
      <c r="A15" s="526" t="s">
        <v>1173</v>
      </c>
      <c r="B15" s="22">
        <v>12</v>
      </c>
      <c r="C15" s="2" t="s">
        <v>115</v>
      </c>
      <c r="D15" s="14">
        <f>COUNTIF(DemandaEstrateg_[Cartera],Resumen!C15)</f>
        <v>1</v>
      </c>
      <c r="E15" s="7" t="s">
        <v>114</v>
      </c>
      <c r="F15" s="8" t="s">
        <v>116</v>
      </c>
      <c r="G15" s="9">
        <v>2025</v>
      </c>
      <c r="H15" s="13">
        <v>45748</v>
      </c>
      <c r="I15" s="11">
        <f>VLOOKUP(Resumen!C15,Tabla3[[Cartera]:[% Avance ejecutado]],6,FALSE)</f>
        <v>1</v>
      </c>
      <c r="J15" s="11">
        <f>VLOOKUP(Resumen!C15,Tabla3[[Cartera]:[% Avance ejecutado]],7,FALSE)</f>
        <v>1</v>
      </c>
      <c r="K15" s="16">
        <f t="shared" si="2"/>
        <v>0</v>
      </c>
      <c r="L15" s="17">
        <f t="shared" ca="1" si="0"/>
        <v>-413</v>
      </c>
      <c r="M15" s="31" t="str">
        <f t="shared" ca="1" si="1"/>
        <v>Con Retraso</v>
      </c>
      <c r="N15" s="50">
        <v>0</v>
      </c>
      <c r="O15" s="42"/>
      <c r="P15" s="42"/>
      <c r="Q15" s="42"/>
      <c r="R15" s="50"/>
      <c r="S15" s="50"/>
      <c r="T15" s="50"/>
      <c r="U15" s="50"/>
      <c r="V15" s="50"/>
      <c r="W15" s="50"/>
      <c r="X15" s="373" t="str">
        <f>VLOOKUP(C15,'Portafolio P&amp;D'!V$3:AD$43,9,FALSE)</f>
        <v>03. Implementado</v>
      </c>
    </row>
    <row r="16" spans="1:29" ht="27" customHeight="1">
      <c r="A16" s="527"/>
      <c r="B16" s="22">
        <v>13</v>
      </c>
      <c r="C16" s="2" t="s">
        <v>240</v>
      </c>
      <c r="D16" s="14">
        <f>COUNTIF(DemandaEstrateg_[Cartera],Resumen!C16)</f>
        <v>1</v>
      </c>
      <c r="E16" s="7" t="s">
        <v>1174</v>
      </c>
      <c r="F16" s="8" t="s">
        <v>241</v>
      </c>
      <c r="G16" s="9">
        <v>2026</v>
      </c>
      <c r="H16" s="13">
        <v>45839</v>
      </c>
      <c r="I16" s="11">
        <f>VLOOKUP(Resumen!C16,Tabla3[[Cartera]:[% Avance ejecutado]],6,FALSE)</f>
        <v>0.9</v>
      </c>
      <c r="J16" s="11">
        <f>VLOOKUP(Resumen!C16,Tabla3[[Cartera]:[% Avance ejecutado]],7,FALSE)</f>
        <v>0.26</v>
      </c>
      <c r="K16" s="16">
        <f t="shared" si="2"/>
        <v>-0.71111111111111114</v>
      </c>
      <c r="L16" s="17">
        <f t="shared" ca="1" si="0"/>
        <v>-322</v>
      </c>
      <c r="M16" s="31" t="str">
        <f t="shared" ca="1" si="1"/>
        <v>Con Retraso</v>
      </c>
      <c r="N16" s="50">
        <v>0</v>
      </c>
      <c r="O16" s="42"/>
      <c r="P16" s="42"/>
      <c r="Q16" s="42"/>
      <c r="R16" s="50"/>
      <c r="S16" s="50"/>
      <c r="T16" s="50"/>
      <c r="U16" s="50"/>
      <c r="V16" s="50"/>
      <c r="W16" s="50"/>
      <c r="X16" s="373" t="str">
        <f>VLOOKUP(C16,'Portafolio P&amp;D'!V$3:AD$43,9,FALSE)</f>
        <v>04. Cerrado</v>
      </c>
    </row>
    <row r="17" spans="1:24" ht="27" customHeight="1">
      <c r="A17" s="528"/>
      <c r="B17" s="22">
        <v>14</v>
      </c>
      <c r="C17" s="2" t="s">
        <v>277</v>
      </c>
      <c r="D17" s="14">
        <f>COUNTIF(DemandaEstrateg_[Cartera],Resumen!C17)</f>
        <v>1</v>
      </c>
      <c r="E17" s="7" t="s">
        <v>114</v>
      </c>
      <c r="F17" s="8" t="s">
        <v>123</v>
      </c>
      <c r="G17" s="7">
        <v>2025</v>
      </c>
      <c r="H17" s="13">
        <v>45992</v>
      </c>
      <c r="I17" s="11">
        <f>VLOOKUP(Resumen!C17,Tabla3[[Cartera]:[% Avance ejecutado]],6,FALSE)</f>
        <v>1</v>
      </c>
      <c r="J17" s="11">
        <f>VLOOKUP(Resumen!C17,Tabla3[[Cartera]:[% Avance ejecutado]],7,FALSE)</f>
        <v>1</v>
      </c>
      <c r="K17" s="16">
        <f t="shared" si="2"/>
        <v>0</v>
      </c>
      <c r="L17" s="17">
        <f t="shared" ca="1" si="0"/>
        <v>-169</v>
      </c>
      <c r="M17" s="31" t="str">
        <f t="shared" ca="1" si="1"/>
        <v>Con Retraso</v>
      </c>
      <c r="N17" s="50">
        <v>0</v>
      </c>
      <c r="O17" s="43"/>
      <c r="P17" s="43"/>
      <c r="Q17" s="43"/>
      <c r="R17" s="50">
        <v>1</v>
      </c>
      <c r="S17" s="50"/>
      <c r="T17" s="50"/>
      <c r="U17" s="50"/>
      <c r="V17" s="50"/>
      <c r="W17" s="50"/>
      <c r="X17" s="372" t="str">
        <f>VLOOKUP(C17,'Portafolio P&amp;D'!V$3:AD$43,9,FALSE)</f>
        <v>03. Implementado</v>
      </c>
    </row>
    <row r="18" spans="1:24" ht="25.15" customHeight="1">
      <c r="A18" s="4" t="s">
        <v>1175</v>
      </c>
      <c r="B18" s="24">
        <f>COUNT(B4:B17)</f>
        <v>14</v>
      </c>
      <c r="C18" s="5"/>
      <c r="D18" s="26">
        <f>SUM(D4:D17)</f>
        <v>78</v>
      </c>
      <c r="E18"/>
      <c r="F18"/>
      <c r="G18"/>
      <c r="I18"/>
      <c r="L18" s="17"/>
      <c r="M18" s="18"/>
      <c r="N18" s="18"/>
      <c r="O18" s="18"/>
      <c r="P18" s="18"/>
      <c r="Q18" s="37"/>
      <c r="R18" s="18"/>
      <c r="S18" s="18"/>
      <c r="T18" s="18"/>
      <c r="U18" s="18"/>
      <c r="V18" s="18"/>
      <c r="W18"/>
      <c r="X18"/>
    </row>
    <row r="20" spans="1:24">
      <c r="A20" t="s">
        <v>1176</v>
      </c>
      <c r="J20" s="10"/>
      <c r="N20" s="39"/>
      <c r="O20" s="39"/>
      <c r="P20" s="39"/>
      <c r="Q20" s="40"/>
      <c r="R20" s="39"/>
      <c r="S20" s="39"/>
      <c r="T20" s="39"/>
      <c r="U20" s="39"/>
      <c r="V20" s="39"/>
      <c r="W20" s="39"/>
    </row>
    <row r="21" spans="1:24" s="44" customFormat="1">
      <c r="A21" t="s">
        <v>1177</v>
      </c>
      <c r="B21" s="45"/>
      <c r="D21" s="46"/>
      <c r="E21" s="46"/>
      <c r="F21" s="46"/>
      <c r="G21" s="46"/>
      <c r="I21" s="46"/>
      <c r="K21" s="47"/>
      <c r="N21" s="46"/>
      <c r="O21" s="46"/>
      <c r="P21" s="46"/>
      <c r="Q21" s="48"/>
      <c r="R21" s="49">
        <v>45901</v>
      </c>
      <c r="S21" s="49">
        <v>45992</v>
      </c>
      <c r="T21" s="49">
        <v>46082</v>
      </c>
      <c r="U21" s="46"/>
      <c r="V21" s="49">
        <v>46266</v>
      </c>
      <c r="W21" s="46"/>
      <c r="X21" s="46"/>
    </row>
    <row r="22" spans="1:24" ht="15.75">
      <c r="A22" t="s">
        <v>1178</v>
      </c>
      <c r="N22" s="30">
        <f>SUM(N4:N17)</f>
        <v>62</v>
      </c>
      <c r="O22" s="30">
        <f>SUM(O4:O17)</f>
        <v>0</v>
      </c>
      <c r="P22" s="30">
        <f>SUM(P4:P17)</f>
        <v>0</v>
      </c>
      <c r="Q22" s="38"/>
      <c r="R22" s="30">
        <f>SUM(R4:R17)</f>
        <v>6</v>
      </c>
      <c r="S22" s="30">
        <f>SUM(S4:S17)</f>
        <v>1</v>
      </c>
      <c r="T22" s="30">
        <f>SUM(T4:T17)</f>
        <v>3</v>
      </c>
      <c r="U22" s="30">
        <f>SUM(U4:U17)</f>
        <v>0</v>
      </c>
      <c r="V22" s="30">
        <f>SUM(V4:V17)</f>
        <v>2</v>
      </c>
    </row>
  </sheetData>
  <mergeCells count="5">
    <mergeCell ref="A4:A8"/>
    <mergeCell ref="A9:A11"/>
    <mergeCell ref="A15:A17"/>
    <mergeCell ref="N2:X2"/>
    <mergeCell ref="H2:J2"/>
  </mergeCells>
  <conditionalFormatting sqref="K1:K1048576">
    <cfRule type="iconSet" priority="1">
      <iconSet>
        <cfvo type="percent" val="0"/>
        <cfvo type="num" val="-0.1" gte="0"/>
        <cfvo type="num" val="0"/>
      </iconSe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containsText" priority="17" operator="containsText" id="{B3459E23-28E1-4477-AE2B-2B517D7E342A}">
            <xm:f>NOT(ISERROR(SEARCH($AB$6,M1)))</xm:f>
            <xm:f>$AB$6</xm:f>
            <x14:dxf>
              <font>
                <color theme="0"/>
              </font>
              <fill>
                <patternFill>
                  <bgColor rgb="FF0070C0"/>
                </patternFill>
              </fill>
            </x14:dxf>
          </x14:cfRule>
          <x14:cfRule type="containsText" priority="18" operator="containsText" id="{97F20B6F-823D-44BD-80B1-3ABB70AB5B0F}">
            <xm:f>NOT(ISERROR(SEARCH($AB$5,M1)))</xm:f>
            <xm:f>$AB$5</xm:f>
            <x14:dxf>
              <font>
                <b/>
                <i val="0"/>
                <color auto="1"/>
              </font>
              <fill>
                <patternFill>
                  <bgColor rgb="FFFFC000"/>
                </patternFill>
              </fill>
            </x14:dxf>
          </x14:cfRule>
          <x14:cfRule type="containsText" priority="19" operator="containsText" id="{B37226D5-622B-40A2-B979-7900E85D4DFE}">
            <xm:f>NOT(ISERROR(SEARCH($AB$4,M1)))</xm:f>
            <xm:f>$AB$4</xm:f>
            <x14:dxf>
              <font>
                <b/>
                <i val="0"/>
                <color theme="0"/>
              </font>
              <fill>
                <patternFill>
                  <bgColor rgb="FFC00000"/>
                </patternFill>
              </fill>
            </x14:dxf>
          </x14:cfRule>
          <x14:cfRule type="containsText" priority="20" operator="containsText" id="{FA21C84D-F7C0-4C29-92D3-19986CCBCEB9}">
            <xm:f>NOT(ISERROR(SEARCH($AB$4,M1)))</xm:f>
            <xm:f>$AB$4</xm:f>
            <x14:dxf>
              <font>
                <color rgb="FF9C0006"/>
              </font>
              <fill>
                <patternFill>
                  <bgColor rgb="FFFFC7CE"/>
                </patternFill>
              </fill>
            </x14:dxf>
          </x14:cfRule>
          <xm:sqref>M1:M1048576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102D-67CF-45ED-AC97-441AB5ACC478}">
  <sheetPr codeName="Hoja11"/>
  <dimension ref="A2:AN359"/>
  <sheetViews>
    <sheetView topLeftCell="A2" zoomScale="85" zoomScaleNormal="85" workbookViewId="0">
      <selection activeCell="C7" sqref="C7"/>
    </sheetView>
  </sheetViews>
  <sheetFormatPr defaultColWidth="11.42578125" defaultRowHeight="15"/>
  <cols>
    <col min="1" max="1" width="54" customWidth="1"/>
    <col min="2" max="2" width="62" customWidth="1"/>
    <col min="3" max="3" width="57.7109375" customWidth="1"/>
    <col min="4" max="4" width="44.140625" bestFit="1" customWidth="1"/>
    <col min="5" max="5" width="16.28515625" customWidth="1"/>
    <col min="6" max="6" width="44" customWidth="1"/>
    <col min="7" max="7" width="30.28515625" customWidth="1"/>
    <col min="8" max="8" width="35.5703125" customWidth="1"/>
    <col min="18" max="18" width="13.7109375" bestFit="1" customWidth="1"/>
    <col min="47" max="48" width="13.7109375" bestFit="1" customWidth="1"/>
  </cols>
  <sheetData>
    <row r="2" spans="1:40" ht="18.75">
      <c r="A2" s="224" t="s">
        <v>1179</v>
      </c>
    </row>
    <row r="3" spans="1:40">
      <c r="A3" s="260" t="s">
        <v>344</v>
      </c>
      <c r="B3" s="274" t="s">
        <v>1180</v>
      </c>
      <c r="C3" s="261" t="s">
        <v>345</v>
      </c>
    </row>
    <row r="4" spans="1:40" ht="27" customHeight="1">
      <c r="A4" s="266" t="s">
        <v>666</v>
      </c>
      <c r="B4" s="225" t="s">
        <v>1181</v>
      </c>
      <c r="C4" s="270" t="s">
        <v>297</v>
      </c>
    </row>
    <row r="5" spans="1:40" ht="27" customHeight="1">
      <c r="A5" s="267" t="s">
        <v>1182</v>
      </c>
      <c r="B5" s="226" t="s">
        <v>1183</v>
      </c>
      <c r="C5" s="271" t="s">
        <v>767</v>
      </c>
    </row>
    <row r="6" spans="1:40" ht="27" customHeight="1">
      <c r="A6" s="267" t="s">
        <v>360</v>
      </c>
      <c r="B6" s="226" t="s">
        <v>1184</v>
      </c>
      <c r="C6" s="271" t="s">
        <v>767</v>
      </c>
      <c r="AN6" t="s">
        <v>1185</v>
      </c>
    </row>
    <row r="7" spans="1:40" ht="27" customHeight="1">
      <c r="A7" s="267" t="s">
        <v>1186</v>
      </c>
      <c r="B7" s="226" t="s">
        <v>1187</v>
      </c>
      <c r="C7" s="271" t="s">
        <v>767</v>
      </c>
    </row>
    <row r="8" spans="1:40" ht="27" customHeight="1">
      <c r="A8" s="267" t="s">
        <v>488</v>
      </c>
      <c r="B8" s="226" t="s">
        <v>1188</v>
      </c>
      <c r="C8" s="271" t="s">
        <v>767</v>
      </c>
    </row>
    <row r="9" spans="1:40" ht="27" customHeight="1">
      <c r="A9" s="267" t="s">
        <v>1189</v>
      </c>
      <c r="B9" s="226" t="s">
        <v>1190</v>
      </c>
      <c r="C9" s="271" t="s">
        <v>767</v>
      </c>
    </row>
    <row r="10" spans="1:40" ht="27" customHeight="1">
      <c r="A10" s="267" t="s">
        <v>1191</v>
      </c>
      <c r="B10" s="226" t="s">
        <v>1192</v>
      </c>
      <c r="C10" s="271" t="s">
        <v>767</v>
      </c>
    </row>
    <row r="11" spans="1:40" ht="27" customHeight="1">
      <c r="A11" s="268" t="s">
        <v>529</v>
      </c>
      <c r="B11" s="226" t="s">
        <v>1193</v>
      </c>
      <c r="C11" s="272" t="s">
        <v>117</v>
      </c>
    </row>
    <row r="12" spans="1:40" ht="27" customHeight="1">
      <c r="A12" s="268" t="s">
        <v>449</v>
      </c>
      <c r="B12" s="227" t="s">
        <v>1194</v>
      </c>
      <c r="C12" s="272" t="s">
        <v>1195</v>
      </c>
    </row>
    <row r="13" spans="1:40" ht="27" customHeight="1">
      <c r="A13" s="269" t="s">
        <v>466</v>
      </c>
      <c r="B13" s="226" t="s">
        <v>1196</v>
      </c>
      <c r="C13" s="273" t="s">
        <v>204</v>
      </c>
    </row>
    <row r="14" spans="1:40" ht="27" customHeight="1">
      <c r="A14" s="275" t="s">
        <v>1197</v>
      </c>
      <c r="B14" s="265" t="s">
        <v>1198</v>
      </c>
      <c r="C14" s="276" t="s">
        <v>1199</v>
      </c>
    </row>
    <row r="16" spans="1:40" ht="18.75">
      <c r="A16" s="224" t="s">
        <v>1200</v>
      </c>
    </row>
    <row r="17" spans="1:4">
      <c r="A17" s="68" t="s">
        <v>1201</v>
      </c>
      <c r="B17" s="218" t="s">
        <v>1180</v>
      </c>
      <c r="C17" s="67" t="s">
        <v>344</v>
      </c>
      <c r="D17" s="218" t="s">
        <v>1202</v>
      </c>
    </row>
    <row r="18" spans="1:4">
      <c r="A18" s="220" t="s">
        <v>757</v>
      </c>
      <c r="B18" s="225" t="s">
        <v>1203</v>
      </c>
      <c r="C18" s="220" t="s">
        <v>666</v>
      </c>
      <c r="D18" s="228" t="s">
        <v>42</v>
      </c>
    </row>
    <row r="19" spans="1:4" ht="19.899999999999999" customHeight="1">
      <c r="A19" s="221" t="s">
        <v>386</v>
      </c>
      <c r="B19" s="226" t="s">
        <v>1204</v>
      </c>
      <c r="C19" s="221" t="s">
        <v>360</v>
      </c>
      <c r="D19" s="228" t="s">
        <v>42</v>
      </c>
    </row>
    <row r="20" spans="1:4" ht="19.899999999999999" customHeight="1">
      <c r="A20" s="221" t="s">
        <v>971</v>
      </c>
      <c r="B20" s="226" t="s">
        <v>1205</v>
      </c>
      <c r="C20" s="221" t="s">
        <v>360</v>
      </c>
      <c r="D20" s="228" t="s">
        <v>42</v>
      </c>
    </row>
    <row r="21" spans="1:4" ht="19.899999999999999" customHeight="1">
      <c r="A21" s="223" t="s">
        <v>1206</v>
      </c>
      <c r="B21" s="226" t="s">
        <v>1207</v>
      </c>
      <c r="C21" s="223" t="s">
        <v>1197</v>
      </c>
      <c r="D21" s="69" t="s">
        <v>41</v>
      </c>
    </row>
    <row r="22" spans="1:4" ht="19.899999999999999" customHeight="1">
      <c r="A22" s="221" t="s">
        <v>487</v>
      </c>
      <c r="B22" s="226" t="s">
        <v>1208</v>
      </c>
      <c r="C22" s="221" t="s">
        <v>1186</v>
      </c>
      <c r="D22" s="69" t="s">
        <v>41</v>
      </c>
    </row>
    <row r="23" spans="1:4" ht="19.899999999999999" customHeight="1">
      <c r="A23" s="221" t="s">
        <v>721</v>
      </c>
      <c r="B23" s="226" t="s">
        <v>1209</v>
      </c>
      <c r="C23" s="221" t="s">
        <v>1186</v>
      </c>
      <c r="D23" s="69" t="s">
        <v>41</v>
      </c>
    </row>
    <row r="24" spans="1:4" ht="19.899999999999999" customHeight="1">
      <c r="A24" s="221" t="s">
        <v>574</v>
      </c>
      <c r="B24" s="226" t="s">
        <v>1210</v>
      </c>
      <c r="C24" s="221" t="s">
        <v>360</v>
      </c>
      <c r="D24" s="228" t="s">
        <v>42</v>
      </c>
    </row>
    <row r="25" spans="1:4" ht="19.899999999999999" customHeight="1">
      <c r="A25" s="221" t="s">
        <v>403</v>
      </c>
      <c r="B25" s="226" t="s">
        <v>1211</v>
      </c>
      <c r="C25" s="221" t="s">
        <v>488</v>
      </c>
      <c r="D25" s="69" t="s">
        <v>41</v>
      </c>
    </row>
    <row r="26" spans="1:4" ht="19.899999999999999" customHeight="1">
      <c r="A26" s="221" t="s">
        <v>375</v>
      </c>
      <c r="B26" s="227" t="s">
        <v>1212</v>
      </c>
      <c r="C26" s="221" t="s">
        <v>1189</v>
      </c>
      <c r="D26" s="69" t="s">
        <v>41</v>
      </c>
    </row>
    <row r="27" spans="1:4" ht="19.899999999999999" customHeight="1">
      <c r="A27" s="221" t="s">
        <v>1213</v>
      </c>
      <c r="B27" s="226" t="s">
        <v>1214</v>
      </c>
      <c r="C27" s="221" t="s">
        <v>488</v>
      </c>
      <c r="D27" s="69" t="s">
        <v>41</v>
      </c>
    </row>
    <row r="28" spans="1:4" ht="19.899999999999999" customHeight="1">
      <c r="A28" s="221" t="s">
        <v>1215</v>
      </c>
      <c r="B28" s="226" t="s">
        <v>1216</v>
      </c>
      <c r="C28" s="221" t="s">
        <v>488</v>
      </c>
      <c r="D28" s="69" t="s">
        <v>41</v>
      </c>
    </row>
    <row r="29" spans="1:4" ht="19.899999999999999" customHeight="1">
      <c r="A29" s="221" t="s">
        <v>1217</v>
      </c>
      <c r="B29" s="225" t="s">
        <v>1218</v>
      </c>
      <c r="C29" s="221" t="s">
        <v>1191</v>
      </c>
      <c r="D29" s="69" t="s">
        <v>41</v>
      </c>
    </row>
    <row r="30" spans="1:4" ht="19.899999999999999" customHeight="1">
      <c r="A30" s="222" t="s">
        <v>422</v>
      </c>
      <c r="B30" s="226" t="s">
        <v>1219</v>
      </c>
      <c r="C30" s="222" t="s">
        <v>529</v>
      </c>
      <c r="D30" s="69" t="s">
        <v>41</v>
      </c>
    </row>
    <row r="31" spans="1:4" ht="19.899999999999999" customHeight="1">
      <c r="A31" s="221" t="s">
        <v>1220</v>
      </c>
      <c r="B31" s="226" t="s">
        <v>1218</v>
      </c>
      <c r="C31" s="221" t="s">
        <v>1191</v>
      </c>
      <c r="D31" s="69" t="s">
        <v>41</v>
      </c>
    </row>
    <row r="32" spans="1:4" ht="19.899999999999999" customHeight="1">
      <c r="A32" s="222" t="s">
        <v>788</v>
      </c>
      <c r="B32" s="226" t="s">
        <v>1219</v>
      </c>
      <c r="C32" s="222" t="s">
        <v>529</v>
      </c>
      <c r="D32" s="69" t="s">
        <v>41</v>
      </c>
    </row>
    <row r="33" spans="1:7" ht="19.899999999999999" customHeight="1">
      <c r="A33" s="222" t="s">
        <v>612</v>
      </c>
      <c r="B33" s="226" t="s">
        <v>1221</v>
      </c>
      <c r="C33" s="222" t="s">
        <v>529</v>
      </c>
      <c r="D33" s="69" t="s">
        <v>41</v>
      </c>
    </row>
    <row r="34" spans="1:7" ht="25.15" customHeight="1">
      <c r="A34" s="223" t="s">
        <v>520</v>
      </c>
      <c r="B34" s="226" t="s">
        <v>1222</v>
      </c>
      <c r="C34" s="223" t="s">
        <v>466</v>
      </c>
      <c r="D34" s="69" t="s">
        <v>1223</v>
      </c>
    </row>
    <row r="35" spans="1:7">
      <c r="F35" s="61"/>
      <c r="G35" s="61"/>
    </row>
    <row r="36" spans="1:7" ht="18.75">
      <c r="A36" s="224" t="s">
        <v>1224</v>
      </c>
      <c r="B36" s="219"/>
      <c r="F36" s="61"/>
      <c r="G36" s="61"/>
    </row>
    <row r="37" spans="1:7">
      <c r="A37" s="260" t="s">
        <v>1225</v>
      </c>
      <c r="B37" s="274" t="s">
        <v>344</v>
      </c>
      <c r="C37" s="261" t="s">
        <v>345</v>
      </c>
      <c r="F37" s="61"/>
      <c r="G37" s="61"/>
    </row>
    <row r="38" spans="1:7">
      <c r="A38" s="266" t="s">
        <v>297</v>
      </c>
      <c r="B38" s="220" t="s">
        <v>666</v>
      </c>
      <c r="C38" s="270" t="s">
        <v>297</v>
      </c>
      <c r="F38" s="61"/>
      <c r="G38" s="61"/>
    </row>
    <row r="39" spans="1:7">
      <c r="A39" s="267" t="s">
        <v>73</v>
      </c>
      <c r="B39" s="221" t="s">
        <v>1182</v>
      </c>
      <c r="C39" s="271" t="s">
        <v>767</v>
      </c>
      <c r="F39" s="61"/>
      <c r="G39" s="61"/>
    </row>
    <row r="40" spans="1:7">
      <c r="A40" s="267" t="s">
        <v>73</v>
      </c>
      <c r="B40" s="221" t="s">
        <v>360</v>
      </c>
      <c r="C40" s="271" t="s">
        <v>767</v>
      </c>
      <c r="F40" s="61"/>
      <c r="G40" s="61"/>
    </row>
    <row r="41" spans="1:7">
      <c r="A41" s="267" t="s">
        <v>73</v>
      </c>
      <c r="B41" s="221" t="s">
        <v>1186</v>
      </c>
      <c r="C41" s="271" t="s">
        <v>767</v>
      </c>
      <c r="F41" s="61"/>
      <c r="G41" s="61"/>
    </row>
    <row r="42" spans="1:7">
      <c r="A42" s="267" t="s">
        <v>73</v>
      </c>
      <c r="B42" s="221" t="s">
        <v>488</v>
      </c>
      <c r="C42" s="271" t="s">
        <v>767</v>
      </c>
      <c r="F42" s="61"/>
      <c r="G42" s="61"/>
    </row>
    <row r="43" spans="1:7">
      <c r="A43" s="267" t="s">
        <v>73</v>
      </c>
      <c r="B43" s="221" t="s">
        <v>1189</v>
      </c>
      <c r="C43" s="271" t="s">
        <v>767</v>
      </c>
      <c r="F43" s="61"/>
      <c r="G43" s="61"/>
    </row>
    <row r="44" spans="1:7">
      <c r="A44" s="267" t="s">
        <v>73</v>
      </c>
      <c r="B44" s="221" t="s">
        <v>1191</v>
      </c>
      <c r="C44" s="271" t="s">
        <v>767</v>
      </c>
      <c r="F44" s="61"/>
      <c r="G44" s="61"/>
    </row>
    <row r="45" spans="1:7">
      <c r="A45" s="268" t="s">
        <v>117</v>
      </c>
      <c r="B45" s="222" t="s">
        <v>529</v>
      </c>
      <c r="C45" s="272" t="s">
        <v>117</v>
      </c>
      <c r="F45" s="61"/>
      <c r="G45" s="61"/>
    </row>
    <row r="46" spans="1:7">
      <c r="A46" s="268" t="s">
        <v>45</v>
      </c>
      <c r="B46" s="222" t="s">
        <v>449</v>
      </c>
      <c r="C46" s="272" t="s">
        <v>1195</v>
      </c>
      <c r="F46" s="61"/>
      <c r="G46" s="61"/>
    </row>
    <row r="47" spans="1:7">
      <c r="A47" s="269" t="s">
        <v>204</v>
      </c>
      <c r="B47" s="223" t="s">
        <v>466</v>
      </c>
      <c r="C47" s="273" t="s">
        <v>204</v>
      </c>
      <c r="F47" s="61"/>
      <c r="G47" s="61"/>
    </row>
    <row r="48" spans="1:7">
      <c r="A48" s="275" t="s">
        <v>1199</v>
      </c>
      <c r="B48" s="264" t="s">
        <v>1197</v>
      </c>
      <c r="C48" s="276" t="s">
        <v>1199</v>
      </c>
      <c r="F48" s="61"/>
      <c r="G48" s="61"/>
    </row>
    <row r="49" spans="1:7">
      <c r="F49" s="61"/>
      <c r="G49" s="61"/>
    </row>
    <row r="50" spans="1:7">
      <c r="A50" s="71" t="s">
        <v>1226</v>
      </c>
      <c r="B50" s="71" t="s">
        <v>344</v>
      </c>
    </row>
    <row r="51" spans="1:7">
      <c r="A51" s="72" t="s">
        <v>1227</v>
      </c>
      <c r="B51" s="223" t="s">
        <v>1199</v>
      </c>
    </row>
    <row r="52" spans="1:7">
      <c r="A52" s="72" t="s">
        <v>1228</v>
      </c>
      <c r="B52" s="223" t="s">
        <v>1199</v>
      </c>
    </row>
    <row r="53" spans="1:7">
      <c r="A53" s="72" t="s">
        <v>1229</v>
      </c>
      <c r="B53" s="223" t="s">
        <v>1199</v>
      </c>
    </row>
    <row r="54" spans="1:7">
      <c r="A54" s="72" t="s">
        <v>1230</v>
      </c>
      <c r="B54" s="223" t="s">
        <v>204</v>
      </c>
    </row>
    <row r="55" spans="1:7">
      <c r="A55" s="72" t="s">
        <v>1231</v>
      </c>
      <c r="B55" s="223" t="s">
        <v>204</v>
      </c>
    </row>
    <row r="56" spans="1:7">
      <c r="A56" s="72" t="s">
        <v>1232</v>
      </c>
      <c r="B56" s="223" t="s">
        <v>204</v>
      </c>
    </row>
    <row r="57" spans="1:7">
      <c r="A57" s="73" t="s">
        <v>1233</v>
      </c>
      <c r="B57" s="223" t="s">
        <v>204</v>
      </c>
    </row>
    <row r="58" spans="1:7">
      <c r="A58" s="72" t="s">
        <v>1234</v>
      </c>
      <c r="B58" s="223" t="s">
        <v>204</v>
      </c>
    </row>
    <row r="59" spans="1:7">
      <c r="A59" s="72" t="s">
        <v>1235</v>
      </c>
      <c r="B59" s="223" t="s">
        <v>204</v>
      </c>
    </row>
    <row r="60" spans="1:7">
      <c r="A60" t="s">
        <v>1236</v>
      </c>
      <c r="B60" s="223" t="s">
        <v>204</v>
      </c>
    </row>
    <row r="61" spans="1:7">
      <c r="A61" s="72" t="s">
        <v>1237</v>
      </c>
      <c r="B61" s="223" t="s">
        <v>204</v>
      </c>
    </row>
    <row r="62" spans="1:7" ht="13.5" customHeight="1">
      <c r="F62" s="61"/>
      <c r="G62" s="61"/>
    </row>
    <row r="63" spans="1:7">
      <c r="A63" s="260" t="s">
        <v>324</v>
      </c>
      <c r="B63" s="261" t="s">
        <v>1238</v>
      </c>
      <c r="D63" s="61"/>
    </row>
    <row r="64" spans="1:7" s="61" customFormat="1" ht="38.25">
      <c r="A64" s="258" t="s">
        <v>381</v>
      </c>
      <c r="B64" s="259" t="s">
        <v>1239</v>
      </c>
    </row>
    <row r="65" spans="1:7" s="61" customFormat="1" ht="38.25">
      <c r="A65" s="258" t="s">
        <v>461</v>
      </c>
      <c r="B65" s="259" t="s">
        <v>1240</v>
      </c>
    </row>
    <row r="66" spans="1:7" s="61" customFormat="1" ht="51">
      <c r="A66" s="258" t="s">
        <v>662</v>
      </c>
      <c r="B66" s="259" t="s">
        <v>1241</v>
      </c>
      <c r="F66"/>
      <c r="G66"/>
    </row>
    <row r="67" spans="1:7" s="61" customFormat="1" ht="38.25">
      <c r="A67" s="258" t="s">
        <v>350</v>
      </c>
      <c r="B67" s="259" t="s">
        <v>1242</v>
      </c>
      <c r="F67"/>
      <c r="G67"/>
    </row>
    <row r="68" spans="1:7" ht="51">
      <c r="A68" s="258" t="s">
        <v>483</v>
      </c>
      <c r="B68" s="259" t="s">
        <v>1243</v>
      </c>
    </row>
    <row r="69" spans="1:7" ht="63.75">
      <c r="A69" s="262" t="s">
        <v>97</v>
      </c>
      <c r="B69" s="263" t="s">
        <v>1244</v>
      </c>
    </row>
    <row r="71" spans="1:7">
      <c r="A71" s="71" t="s">
        <v>325</v>
      </c>
    </row>
    <row r="72" spans="1:7">
      <c r="A72" s="256" t="s">
        <v>1245</v>
      </c>
    </row>
    <row r="73" spans="1:7">
      <c r="A73" s="256" t="s">
        <v>1246</v>
      </c>
    </row>
    <row r="74" spans="1:7">
      <c r="A74" s="256" t="s">
        <v>1247</v>
      </c>
    </row>
    <row r="75" spans="1:7">
      <c r="A75" s="256" t="s">
        <v>1248</v>
      </c>
    </row>
    <row r="76" spans="1:7">
      <c r="A76" s="256" t="s">
        <v>1248</v>
      </c>
    </row>
    <row r="77" spans="1:7">
      <c r="A77" s="256" t="s">
        <v>373</v>
      </c>
    </row>
    <row r="78" spans="1:7">
      <c r="A78" s="256" t="s">
        <v>1249</v>
      </c>
    </row>
    <row r="79" spans="1:7">
      <c r="A79" s="256" t="s">
        <v>382</v>
      </c>
    </row>
    <row r="80" spans="1:7">
      <c r="A80" s="256" t="s">
        <v>93</v>
      </c>
    </row>
    <row r="81" spans="1:2">
      <c r="A81" s="256" t="s">
        <v>351</v>
      </c>
    </row>
    <row r="82" spans="1:2">
      <c r="A82" s="256" t="s">
        <v>1250</v>
      </c>
    </row>
    <row r="83" spans="1:2">
      <c r="A83" s="257" t="s">
        <v>1251</v>
      </c>
    </row>
    <row r="85" spans="1:2">
      <c r="A85" s="254" t="s">
        <v>1252</v>
      </c>
    </row>
    <row r="86" spans="1:2">
      <c r="A86" s="70" t="s">
        <v>152</v>
      </c>
    </row>
    <row r="87" spans="1:2">
      <c r="A87" s="70" t="s">
        <v>525</v>
      </c>
    </row>
    <row r="88" spans="1:2">
      <c r="A88" s="70" t="s">
        <v>374</v>
      </c>
    </row>
    <row r="89" spans="1:2">
      <c r="A89" s="70" t="s">
        <v>1253</v>
      </c>
    </row>
    <row r="90" spans="1:2">
      <c r="A90" s="70" t="s">
        <v>452</v>
      </c>
    </row>
    <row r="91" spans="1:2">
      <c r="A91" s="70" t="s">
        <v>634</v>
      </c>
    </row>
    <row r="92" spans="1:2">
      <c r="A92" s="255" t="s">
        <v>644</v>
      </c>
    </row>
    <row r="94" spans="1:2">
      <c r="A94" s="71" t="s">
        <v>1141</v>
      </c>
      <c r="B94" s="71" t="s">
        <v>1254</v>
      </c>
    </row>
    <row r="95" spans="1:2">
      <c r="A95" t="s">
        <v>1255</v>
      </c>
      <c r="B95" t="s">
        <v>1256</v>
      </c>
    </row>
    <row r="96" spans="1:2">
      <c r="A96" t="s">
        <v>1257</v>
      </c>
      <c r="B96" t="s">
        <v>1258</v>
      </c>
    </row>
    <row r="97" spans="1:2">
      <c r="A97" t="s">
        <v>34</v>
      </c>
      <c r="B97" t="s">
        <v>1259</v>
      </c>
    </row>
    <row r="98" spans="1:2">
      <c r="A98" t="s">
        <v>1260</v>
      </c>
      <c r="B98" t="s">
        <v>1261</v>
      </c>
    </row>
    <row r="99" spans="1:2">
      <c r="A99" t="s">
        <v>1262</v>
      </c>
      <c r="B99" t="s">
        <v>1263</v>
      </c>
    </row>
    <row r="100" spans="1:2">
      <c r="A100" t="s">
        <v>128</v>
      </c>
      <c r="B100" t="s">
        <v>1264</v>
      </c>
    </row>
    <row r="101" spans="1:2">
      <c r="A101" t="s">
        <v>1265</v>
      </c>
      <c r="B101" t="s">
        <v>1266</v>
      </c>
    </row>
    <row r="102" spans="1:2">
      <c r="A102" t="s">
        <v>1267</v>
      </c>
      <c r="B102" t="s">
        <v>1268</v>
      </c>
    </row>
    <row r="103" spans="1:2">
      <c r="A103" t="s">
        <v>1269</v>
      </c>
      <c r="B103" t="s">
        <v>1269</v>
      </c>
    </row>
    <row r="104" spans="1:2">
      <c r="A104" t="s">
        <v>367</v>
      </c>
      <c r="B104" t="s">
        <v>1270</v>
      </c>
    </row>
    <row r="105" spans="1:2">
      <c r="A105" t="s">
        <v>164</v>
      </c>
      <c r="B105" t="s">
        <v>1271</v>
      </c>
    </row>
    <row r="106" spans="1:2">
      <c r="A106" t="s">
        <v>202</v>
      </c>
      <c r="B106" t="s">
        <v>1272</v>
      </c>
    </row>
    <row r="107" spans="1:2">
      <c r="A107" t="s">
        <v>220</v>
      </c>
      <c r="B107" t="s">
        <v>1273</v>
      </c>
    </row>
    <row r="108" spans="1:2">
      <c r="A108" t="s">
        <v>1274</v>
      </c>
      <c r="B108" t="s">
        <v>1275</v>
      </c>
    </row>
    <row r="109" spans="1:2">
      <c r="A109" t="s">
        <v>93</v>
      </c>
      <c r="B109" t="s">
        <v>93</v>
      </c>
    </row>
    <row r="110" spans="1:2">
      <c r="A110" t="s">
        <v>113</v>
      </c>
      <c r="B110" t="s">
        <v>1173</v>
      </c>
    </row>
    <row r="111" spans="1:2">
      <c r="A111" t="s">
        <v>1276</v>
      </c>
      <c r="B111" t="s">
        <v>1277</v>
      </c>
    </row>
    <row r="112" spans="1:2">
      <c r="A112" t="s">
        <v>1278</v>
      </c>
      <c r="B112" t="s">
        <v>1279</v>
      </c>
    </row>
    <row r="114" spans="1:2">
      <c r="A114" s="328" t="s">
        <v>1280</v>
      </c>
      <c r="B114" s="329" t="s">
        <v>1254</v>
      </c>
    </row>
    <row r="115" spans="1:2">
      <c r="A115" s="325" t="s">
        <v>1281</v>
      </c>
      <c r="B115" s="245" t="s">
        <v>1281</v>
      </c>
    </row>
    <row r="116" spans="1:2">
      <c r="A116" s="325" t="s">
        <v>1282</v>
      </c>
      <c r="B116" s="245" t="s">
        <v>1283</v>
      </c>
    </row>
    <row r="117" spans="1:2">
      <c r="A117" s="325" t="s">
        <v>1284</v>
      </c>
      <c r="B117" s="245" t="s">
        <v>1284</v>
      </c>
    </row>
    <row r="118" spans="1:2">
      <c r="A118" s="325" t="s">
        <v>1285</v>
      </c>
      <c r="B118" s="245" t="s">
        <v>1286</v>
      </c>
    </row>
    <row r="119" spans="1:2">
      <c r="A119" s="325" t="s">
        <v>1287</v>
      </c>
      <c r="B119" s="245" t="s">
        <v>1287</v>
      </c>
    </row>
    <row r="120" spans="1:2">
      <c r="A120" s="325" t="s">
        <v>1288</v>
      </c>
      <c r="B120" s="245" t="s">
        <v>1289</v>
      </c>
    </row>
    <row r="121" spans="1:2">
      <c r="A121" s="325" t="s">
        <v>1290</v>
      </c>
      <c r="B121" s="245" t="s">
        <v>1291</v>
      </c>
    </row>
    <row r="122" spans="1:2">
      <c r="A122" s="325" t="s">
        <v>1292</v>
      </c>
      <c r="B122" s="245" t="s">
        <v>1293</v>
      </c>
    </row>
    <row r="123" spans="1:2">
      <c r="A123" s="325" t="s">
        <v>1294</v>
      </c>
      <c r="B123" s="245" t="s">
        <v>1294</v>
      </c>
    </row>
    <row r="124" spans="1:2">
      <c r="A124" s="325" t="s">
        <v>1295</v>
      </c>
      <c r="B124" s="245" t="s">
        <v>1295</v>
      </c>
    </row>
    <row r="125" spans="1:2">
      <c r="A125" s="325" t="s">
        <v>1296</v>
      </c>
      <c r="B125" s="245" t="s">
        <v>1296</v>
      </c>
    </row>
    <row r="126" spans="1:2">
      <c r="A126" s="325" t="s">
        <v>1297</v>
      </c>
      <c r="B126" s="245" t="s">
        <v>1297</v>
      </c>
    </row>
    <row r="127" spans="1:2">
      <c r="A127" s="325" t="s">
        <v>1298</v>
      </c>
      <c r="B127" s="245" t="s">
        <v>1299</v>
      </c>
    </row>
    <row r="128" spans="1:2">
      <c r="A128" s="325" t="s">
        <v>1300</v>
      </c>
      <c r="B128" s="245" t="s">
        <v>1300</v>
      </c>
    </row>
    <row r="129" spans="1:2">
      <c r="A129" s="325" t="s">
        <v>1301</v>
      </c>
      <c r="B129" s="245" t="s">
        <v>1302</v>
      </c>
    </row>
    <row r="130" spans="1:2">
      <c r="A130" s="325" t="s">
        <v>1303</v>
      </c>
      <c r="B130" s="245" t="s">
        <v>1304</v>
      </c>
    </row>
    <row r="131" spans="1:2">
      <c r="A131" s="325" t="s">
        <v>1305</v>
      </c>
      <c r="B131" s="245" t="s">
        <v>1305</v>
      </c>
    </row>
    <row r="132" spans="1:2">
      <c r="A132" s="325" t="s">
        <v>1306</v>
      </c>
      <c r="B132" s="245" t="s">
        <v>1306</v>
      </c>
    </row>
    <row r="133" spans="1:2">
      <c r="A133" s="325" t="s">
        <v>1307</v>
      </c>
      <c r="B133" s="245" t="s">
        <v>1307</v>
      </c>
    </row>
    <row r="134" spans="1:2">
      <c r="A134" s="325" t="s">
        <v>1308</v>
      </c>
      <c r="B134" s="245" t="s">
        <v>1309</v>
      </c>
    </row>
    <row r="135" spans="1:2">
      <c r="A135" s="325" t="s">
        <v>1310</v>
      </c>
      <c r="B135" s="245" t="s">
        <v>1310</v>
      </c>
    </row>
    <row r="136" spans="1:2">
      <c r="A136" s="325" t="s">
        <v>1311</v>
      </c>
      <c r="B136" s="245" t="s">
        <v>1312</v>
      </c>
    </row>
    <row r="137" spans="1:2">
      <c r="A137" s="325" t="s">
        <v>1313</v>
      </c>
      <c r="B137" s="245" t="s">
        <v>1314</v>
      </c>
    </row>
    <row r="138" spans="1:2">
      <c r="A138" s="325" t="s">
        <v>1315</v>
      </c>
      <c r="B138" s="245" t="s">
        <v>1316</v>
      </c>
    </row>
    <row r="139" spans="1:2">
      <c r="A139" s="325" t="s">
        <v>1317</v>
      </c>
      <c r="B139" s="245" t="s">
        <v>1318</v>
      </c>
    </row>
    <row r="140" spans="1:2">
      <c r="A140" s="325" t="s">
        <v>1319</v>
      </c>
      <c r="B140" s="245" t="s">
        <v>1320</v>
      </c>
    </row>
    <row r="141" spans="1:2">
      <c r="A141" s="325" t="s">
        <v>1321</v>
      </c>
      <c r="B141" s="245" t="s">
        <v>1322</v>
      </c>
    </row>
    <row r="142" spans="1:2">
      <c r="A142" s="325" t="s">
        <v>1323</v>
      </c>
      <c r="B142" s="245" t="s">
        <v>1324</v>
      </c>
    </row>
    <row r="143" spans="1:2">
      <c r="A143" s="325" t="s">
        <v>1325</v>
      </c>
      <c r="B143" s="245" t="s">
        <v>1325</v>
      </c>
    </row>
    <row r="144" spans="1:2">
      <c r="A144" s="325" t="s">
        <v>1326</v>
      </c>
      <c r="B144" s="245" t="s">
        <v>1326</v>
      </c>
    </row>
    <row r="145" spans="1:2">
      <c r="A145" s="325" t="s">
        <v>1327</v>
      </c>
      <c r="B145" s="245" t="s">
        <v>1327</v>
      </c>
    </row>
    <row r="146" spans="1:2">
      <c r="A146" s="325" t="s">
        <v>1328</v>
      </c>
      <c r="B146" s="245" t="s">
        <v>1328</v>
      </c>
    </row>
    <row r="147" spans="1:2">
      <c r="A147" s="325" t="s">
        <v>1329</v>
      </c>
      <c r="B147" s="245" t="s">
        <v>1330</v>
      </c>
    </row>
    <row r="148" spans="1:2">
      <c r="A148" s="325" t="s">
        <v>1331</v>
      </c>
      <c r="B148" s="245" t="s">
        <v>1332</v>
      </c>
    </row>
    <row r="149" spans="1:2">
      <c r="A149" s="325" t="s">
        <v>1333</v>
      </c>
      <c r="B149" s="245" t="s">
        <v>1334</v>
      </c>
    </row>
    <row r="150" spans="1:2">
      <c r="A150" s="325" t="s">
        <v>1335</v>
      </c>
      <c r="B150" s="245" t="s">
        <v>1336</v>
      </c>
    </row>
    <row r="151" spans="1:2">
      <c r="A151" s="325" t="s">
        <v>1337</v>
      </c>
      <c r="B151" s="245" t="s">
        <v>1337</v>
      </c>
    </row>
    <row r="152" spans="1:2">
      <c r="A152" s="325" t="s">
        <v>1338</v>
      </c>
      <c r="B152" s="245" t="s">
        <v>1339</v>
      </c>
    </row>
    <row r="153" spans="1:2">
      <c r="A153" s="325" t="s">
        <v>1340</v>
      </c>
      <c r="B153" s="245" t="s">
        <v>1341</v>
      </c>
    </row>
    <row r="154" spans="1:2">
      <c r="A154" s="326" t="s">
        <v>1342</v>
      </c>
      <c r="B154" s="246" t="s">
        <v>1343</v>
      </c>
    </row>
    <row r="155" spans="1:2">
      <c r="A155" s="325" t="s">
        <v>1344</v>
      </c>
      <c r="B155" s="245" t="s">
        <v>1345</v>
      </c>
    </row>
    <row r="156" spans="1:2">
      <c r="A156" s="325" t="s">
        <v>1346</v>
      </c>
      <c r="B156" s="245" t="s">
        <v>1026</v>
      </c>
    </row>
    <row r="157" spans="1:2">
      <c r="A157" s="325" t="s">
        <v>1271</v>
      </c>
      <c r="B157" s="245" t="s">
        <v>1271</v>
      </c>
    </row>
    <row r="158" spans="1:2">
      <c r="A158" s="325" t="s">
        <v>1347</v>
      </c>
      <c r="B158" s="245" t="s">
        <v>1347</v>
      </c>
    </row>
    <row r="159" spans="1:2">
      <c r="A159" s="326" t="s">
        <v>1348</v>
      </c>
      <c r="B159" s="246" t="s">
        <v>1348</v>
      </c>
    </row>
    <row r="160" spans="1:2">
      <c r="A160" s="326" t="s">
        <v>1349</v>
      </c>
      <c r="B160" s="246" t="s">
        <v>1350</v>
      </c>
    </row>
    <row r="161" spans="1:2">
      <c r="A161" s="326" t="s">
        <v>490</v>
      </c>
      <c r="B161" s="246" t="s">
        <v>490</v>
      </c>
    </row>
    <row r="162" spans="1:2">
      <c r="A162" s="326" t="s">
        <v>1351</v>
      </c>
      <c r="B162" s="246" t="s">
        <v>1351</v>
      </c>
    </row>
    <row r="163" spans="1:2">
      <c r="A163" s="326" t="s">
        <v>1352</v>
      </c>
      <c r="B163" s="246" t="s">
        <v>1353</v>
      </c>
    </row>
    <row r="164" spans="1:2">
      <c r="A164" s="326" t="s">
        <v>1354</v>
      </c>
      <c r="B164" s="246" t="s">
        <v>1355</v>
      </c>
    </row>
    <row r="165" spans="1:2">
      <c r="A165" s="326" t="s">
        <v>1356</v>
      </c>
      <c r="B165" s="246" t="s">
        <v>1357</v>
      </c>
    </row>
    <row r="166" spans="1:2">
      <c r="A166" s="326" t="s">
        <v>1358</v>
      </c>
      <c r="B166" s="246" t="s">
        <v>1358</v>
      </c>
    </row>
    <row r="167" spans="1:2">
      <c r="A167" s="326" t="s">
        <v>1359</v>
      </c>
      <c r="B167" s="246" t="s">
        <v>1359</v>
      </c>
    </row>
    <row r="168" spans="1:2">
      <c r="A168" s="326" t="s">
        <v>1360</v>
      </c>
      <c r="B168" s="246" t="s">
        <v>1361</v>
      </c>
    </row>
    <row r="169" spans="1:2">
      <c r="B169" s="324"/>
    </row>
    <row r="170" spans="1:2">
      <c r="A170" s="74" t="s">
        <v>1362</v>
      </c>
      <c r="B170" s="327" t="s">
        <v>1254</v>
      </c>
    </row>
    <row r="171" spans="1:2">
      <c r="A171" s="332" t="s">
        <v>356</v>
      </c>
      <c r="B171" t="s">
        <v>356</v>
      </c>
    </row>
    <row r="172" spans="1:2">
      <c r="A172" s="332" t="s">
        <v>434</v>
      </c>
      <c r="B172" t="s">
        <v>434</v>
      </c>
    </row>
    <row r="173" spans="1:2">
      <c r="A173" s="332" t="s">
        <v>420</v>
      </c>
      <c r="B173" t="s">
        <v>420</v>
      </c>
    </row>
    <row r="174" spans="1:2">
      <c r="A174" s="332" t="s">
        <v>1363</v>
      </c>
      <c r="B174" t="s">
        <v>1364</v>
      </c>
    </row>
    <row r="175" spans="1:2">
      <c r="A175" s="333" t="s">
        <v>1365</v>
      </c>
      <c r="B175" t="s">
        <v>1365</v>
      </c>
    </row>
    <row r="176" spans="1:2">
      <c r="A176" s="333" t="s">
        <v>1366</v>
      </c>
      <c r="B176" t="s">
        <v>1367</v>
      </c>
    </row>
    <row r="177" spans="1:2">
      <c r="A177" s="333" t="s">
        <v>1368</v>
      </c>
      <c r="B177" t="s">
        <v>1369</v>
      </c>
    </row>
    <row r="178" spans="1:2">
      <c r="A178" s="333" t="s">
        <v>1370</v>
      </c>
      <c r="B178" t="s">
        <v>1371</v>
      </c>
    </row>
    <row r="179" spans="1:2">
      <c r="A179" s="333" t="s">
        <v>1372</v>
      </c>
      <c r="B179" t="s">
        <v>1373</v>
      </c>
    </row>
    <row r="180" spans="1:2">
      <c r="A180" s="333" t="s">
        <v>1374</v>
      </c>
      <c r="B180" t="s">
        <v>1374</v>
      </c>
    </row>
    <row r="181" spans="1:2">
      <c r="A181" s="333" t="s">
        <v>1375</v>
      </c>
      <c r="B181" t="s">
        <v>1322</v>
      </c>
    </row>
    <row r="182" spans="1:2">
      <c r="A182" s="333" t="s">
        <v>1376</v>
      </c>
      <c r="B182" t="s">
        <v>1377</v>
      </c>
    </row>
    <row r="183" spans="1:2">
      <c r="A183" s="333" t="s">
        <v>1378</v>
      </c>
      <c r="B183" t="s">
        <v>1379</v>
      </c>
    </row>
    <row r="185" spans="1:2">
      <c r="A185" s="331" t="s">
        <v>1380</v>
      </c>
    </row>
    <row r="186" spans="1:2">
      <c r="A186" t="s">
        <v>482</v>
      </c>
    </row>
    <row r="187" spans="1:2">
      <c r="A187" t="s">
        <v>643</v>
      </c>
    </row>
    <row r="188" spans="1:2">
      <c r="A188" t="s">
        <v>1381</v>
      </c>
    </row>
    <row r="189" spans="1:2">
      <c r="A189" t="s">
        <v>626</v>
      </c>
    </row>
    <row r="190" spans="1:2">
      <c r="A190" t="s">
        <v>1382</v>
      </c>
    </row>
    <row r="191" spans="1:2">
      <c r="A191" t="s">
        <v>1383</v>
      </c>
    </row>
    <row r="192" spans="1:2">
      <c r="A192" t="s">
        <v>1384</v>
      </c>
    </row>
    <row r="193" spans="1:1">
      <c r="A193" t="s">
        <v>1385</v>
      </c>
    </row>
    <row r="194" spans="1:1">
      <c r="A194" t="s">
        <v>1386</v>
      </c>
    </row>
    <row r="195" spans="1:1">
      <c r="A195" t="s">
        <v>1387</v>
      </c>
    </row>
    <row r="196" spans="1:1">
      <c r="A196" t="s">
        <v>1388</v>
      </c>
    </row>
    <row r="197" spans="1:1">
      <c r="A197" t="s">
        <v>1389</v>
      </c>
    </row>
    <row r="198" spans="1:1">
      <c r="A198" t="s">
        <v>632</v>
      </c>
    </row>
    <row r="199" spans="1:1">
      <c r="A199" t="s">
        <v>87</v>
      </c>
    </row>
    <row r="200" spans="1:1">
      <c r="A200" t="s">
        <v>71</v>
      </c>
    </row>
    <row r="201" spans="1:1">
      <c r="A201" t="s">
        <v>349</v>
      </c>
    </row>
    <row r="202" spans="1:1">
      <c r="A202" t="s">
        <v>382</v>
      </c>
    </row>
    <row r="204" spans="1:1">
      <c r="A204" s="330" t="s">
        <v>1272</v>
      </c>
    </row>
    <row r="205" spans="1:1">
      <c r="A205" s="251" t="s">
        <v>711</v>
      </c>
    </row>
    <row r="206" spans="1:1">
      <c r="A206" s="251" t="s">
        <v>523</v>
      </c>
    </row>
    <row r="207" spans="1:1">
      <c r="A207" s="251" t="s">
        <v>704</v>
      </c>
    </row>
    <row r="208" spans="1:1">
      <c r="A208" s="251" t="s">
        <v>716</v>
      </c>
    </row>
    <row r="209" spans="1:1">
      <c r="A209" s="251" t="s">
        <v>1390</v>
      </c>
    </row>
    <row r="210" spans="1:1">
      <c r="A210" s="251" t="s">
        <v>1391</v>
      </c>
    </row>
    <row r="211" spans="1:1">
      <c r="A211" s="251" t="s">
        <v>1392</v>
      </c>
    </row>
    <row r="212" spans="1:1">
      <c r="A212" s="251" t="s">
        <v>1393</v>
      </c>
    </row>
    <row r="213" spans="1:1">
      <c r="A213" s="251" t="s">
        <v>1394</v>
      </c>
    </row>
    <row r="214" spans="1:1">
      <c r="A214" s="251" t="s">
        <v>1395</v>
      </c>
    </row>
    <row r="215" spans="1:1">
      <c r="A215" s="251" t="s">
        <v>438</v>
      </c>
    </row>
    <row r="216" spans="1:1">
      <c r="A216" s="251" t="s">
        <v>633</v>
      </c>
    </row>
    <row r="217" spans="1:1">
      <c r="A217" s="251" t="s">
        <v>1396</v>
      </c>
    </row>
    <row r="218" spans="1:1">
      <c r="A218" s="251" t="s">
        <v>1397</v>
      </c>
    </row>
    <row r="219" spans="1:1">
      <c r="A219" s="251" t="s">
        <v>1398</v>
      </c>
    </row>
    <row r="220" spans="1:1">
      <c r="A220" s="251" t="s">
        <v>733</v>
      </c>
    </row>
    <row r="221" spans="1:1">
      <c r="A221" s="251" t="s">
        <v>1399</v>
      </c>
    </row>
    <row r="222" spans="1:1">
      <c r="A222" s="252" t="s">
        <v>175</v>
      </c>
    </row>
    <row r="224" spans="1:1">
      <c r="A224" s="330" t="s">
        <v>323</v>
      </c>
    </row>
    <row r="225" spans="1:2">
      <c r="A225" s="250" t="s">
        <v>1400</v>
      </c>
    </row>
    <row r="226" spans="1:2">
      <c r="A226" s="251" t="s">
        <v>1401</v>
      </c>
    </row>
    <row r="227" spans="1:2">
      <c r="A227" s="250" t="s">
        <v>1402</v>
      </c>
    </row>
    <row r="228" spans="1:2">
      <c r="A228" s="251" t="s">
        <v>1403</v>
      </c>
    </row>
    <row r="229" spans="1:2">
      <c r="A229" s="250" t="s">
        <v>476</v>
      </c>
    </row>
    <row r="230" spans="1:2">
      <c r="A230" s="251" t="s">
        <v>1404</v>
      </c>
    </row>
    <row r="231" spans="1:2">
      <c r="A231" s="250" t="s">
        <v>1405</v>
      </c>
    </row>
    <row r="232" spans="1:2">
      <c r="A232" s="251" t="s">
        <v>668</v>
      </c>
    </row>
    <row r="233" spans="1:2">
      <c r="A233" s="250" t="s">
        <v>1406</v>
      </c>
    </row>
    <row r="234" spans="1:2">
      <c r="A234" s="251" t="s">
        <v>1407</v>
      </c>
    </row>
    <row r="235" spans="1:2">
      <c r="A235" s="250" t="s">
        <v>1408</v>
      </c>
    </row>
    <row r="236" spans="1:2">
      <c r="A236" s="251" t="s">
        <v>1409</v>
      </c>
    </row>
    <row r="237" spans="1:2">
      <c r="A237" s="253" t="s">
        <v>373</v>
      </c>
    </row>
    <row r="239" spans="1:2">
      <c r="A239" s="331" t="s">
        <v>1410</v>
      </c>
      <c r="B239" s="331" t="s">
        <v>1411</v>
      </c>
    </row>
    <row r="240" spans="1:2">
      <c r="A240" t="s">
        <v>1412</v>
      </c>
      <c r="B240" t="s">
        <v>1413</v>
      </c>
    </row>
    <row r="241" spans="1:2">
      <c r="A241" t="s">
        <v>1414</v>
      </c>
      <c r="B241" t="s">
        <v>1413</v>
      </c>
    </row>
    <row r="242" spans="1:2">
      <c r="A242" t="s">
        <v>1415</v>
      </c>
      <c r="B242" t="s">
        <v>1413</v>
      </c>
    </row>
    <row r="243" spans="1:2">
      <c r="A243" t="s">
        <v>1416</v>
      </c>
      <c r="B243" t="s">
        <v>1413</v>
      </c>
    </row>
    <row r="244" spans="1:2">
      <c r="A244" t="s">
        <v>1417</v>
      </c>
      <c r="B244" t="s">
        <v>1418</v>
      </c>
    </row>
    <row r="245" spans="1:2">
      <c r="A245" t="s">
        <v>1419</v>
      </c>
      <c r="B245" t="s">
        <v>1413</v>
      </c>
    </row>
    <row r="246" spans="1:2">
      <c r="A246" t="s">
        <v>1420</v>
      </c>
      <c r="B246" t="s">
        <v>1413</v>
      </c>
    </row>
    <row r="247" spans="1:2">
      <c r="A247" t="s">
        <v>1421</v>
      </c>
      <c r="B247" t="s">
        <v>1413</v>
      </c>
    </row>
    <row r="248" spans="1:2">
      <c r="A248" t="s">
        <v>1422</v>
      </c>
      <c r="B248" t="s">
        <v>1413</v>
      </c>
    </row>
    <row r="249" spans="1:2">
      <c r="A249" t="s">
        <v>1423</v>
      </c>
      <c r="B249" t="s">
        <v>1413</v>
      </c>
    </row>
    <row r="250" spans="1:2">
      <c r="A250" t="s">
        <v>1424</v>
      </c>
      <c r="B250" t="s">
        <v>1413</v>
      </c>
    </row>
    <row r="251" spans="1:2">
      <c r="A251" t="s">
        <v>1425</v>
      </c>
      <c r="B251" t="s">
        <v>1413</v>
      </c>
    </row>
    <row r="252" spans="1:2">
      <c r="A252" t="s">
        <v>1426</v>
      </c>
      <c r="B252" t="s">
        <v>1413</v>
      </c>
    </row>
    <row r="253" spans="1:2">
      <c r="A253" t="s">
        <v>1427</v>
      </c>
      <c r="B253" t="s">
        <v>1413</v>
      </c>
    </row>
    <row r="254" spans="1:2">
      <c r="A254" t="s">
        <v>1428</v>
      </c>
      <c r="B254" t="s">
        <v>1413</v>
      </c>
    </row>
    <row r="255" spans="1:2">
      <c r="A255" t="s">
        <v>1429</v>
      </c>
      <c r="B255" t="s">
        <v>1413</v>
      </c>
    </row>
    <row r="256" spans="1:2">
      <c r="A256" t="s">
        <v>1430</v>
      </c>
      <c r="B256" t="s">
        <v>1413</v>
      </c>
    </row>
    <row r="257" spans="1:2">
      <c r="A257" t="s">
        <v>1431</v>
      </c>
      <c r="B257" t="s">
        <v>1432</v>
      </c>
    </row>
    <row r="258" spans="1:2">
      <c r="A258" t="s">
        <v>1433</v>
      </c>
      <c r="B258" t="s">
        <v>1413</v>
      </c>
    </row>
    <row r="259" spans="1:2">
      <c r="A259" t="s">
        <v>1434</v>
      </c>
      <c r="B259" t="s">
        <v>1413</v>
      </c>
    </row>
    <row r="260" spans="1:2">
      <c r="A260" t="s">
        <v>1435</v>
      </c>
      <c r="B260" t="s">
        <v>1413</v>
      </c>
    </row>
    <row r="261" spans="1:2">
      <c r="A261" t="s">
        <v>1436</v>
      </c>
      <c r="B261" t="s">
        <v>1413</v>
      </c>
    </row>
    <row r="262" spans="1:2">
      <c r="A262" t="s">
        <v>1437</v>
      </c>
      <c r="B262" t="s">
        <v>1413</v>
      </c>
    </row>
    <row r="263" spans="1:2">
      <c r="A263" t="s">
        <v>1438</v>
      </c>
      <c r="B263" t="s">
        <v>1413</v>
      </c>
    </row>
    <row r="264" spans="1:2">
      <c r="A264" t="s">
        <v>1439</v>
      </c>
      <c r="B264" t="s">
        <v>1413</v>
      </c>
    </row>
    <row r="265" spans="1:2">
      <c r="A265" t="s">
        <v>1440</v>
      </c>
      <c r="B265" t="s">
        <v>1413</v>
      </c>
    </row>
    <row r="266" spans="1:2">
      <c r="A266" t="s">
        <v>1441</v>
      </c>
      <c r="B266" t="s">
        <v>1413</v>
      </c>
    </row>
    <row r="267" spans="1:2">
      <c r="A267" t="s">
        <v>1442</v>
      </c>
      <c r="B267" t="s">
        <v>1413</v>
      </c>
    </row>
    <row r="268" spans="1:2">
      <c r="A268" t="s">
        <v>1443</v>
      </c>
      <c r="B268" t="s">
        <v>1413</v>
      </c>
    </row>
    <row r="269" spans="1:2">
      <c r="A269" t="s">
        <v>1444</v>
      </c>
      <c r="B269" t="s">
        <v>1413</v>
      </c>
    </row>
    <row r="270" spans="1:2">
      <c r="A270" t="s">
        <v>1445</v>
      </c>
      <c r="B270" t="s">
        <v>1413</v>
      </c>
    </row>
    <row r="271" spans="1:2">
      <c r="A271" t="s">
        <v>1446</v>
      </c>
      <c r="B271" t="s">
        <v>1413</v>
      </c>
    </row>
    <row r="272" spans="1:2">
      <c r="A272" t="s">
        <v>1447</v>
      </c>
      <c r="B272" t="s">
        <v>1413</v>
      </c>
    </row>
    <row r="273" spans="1:2">
      <c r="A273" t="s">
        <v>1448</v>
      </c>
      <c r="B273" t="s">
        <v>1413</v>
      </c>
    </row>
    <row r="274" spans="1:2">
      <c r="A274" t="s">
        <v>1449</v>
      </c>
      <c r="B274" t="s">
        <v>1413</v>
      </c>
    </row>
    <row r="275" spans="1:2">
      <c r="A275" t="s">
        <v>1450</v>
      </c>
      <c r="B275" t="s">
        <v>1413</v>
      </c>
    </row>
    <row r="276" spans="1:2">
      <c r="A276" t="s">
        <v>1451</v>
      </c>
      <c r="B276" t="s">
        <v>1413</v>
      </c>
    </row>
    <row r="277" spans="1:2">
      <c r="A277" t="s">
        <v>1452</v>
      </c>
      <c r="B277" t="s">
        <v>1413</v>
      </c>
    </row>
    <row r="278" spans="1:2">
      <c r="A278" t="s">
        <v>1453</v>
      </c>
      <c r="B278" t="s">
        <v>1413</v>
      </c>
    </row>
    <row r="279" spans="1:2">
      <c r="A279" t="s">
        <v>1454</v>
      </c>
      <c r="B279" t="s">
        <v>1418</v>
      </c>
    </row>
    <row r="280" spans="1:2">
      <c r="A280" t="s">
        <v>1455</v>
      </c>
      <c r="B280" t="s">
        <v>1413</v>
      </c>
    </row>
    <row r="281" spans="1:2">
      <c r="A281" t="s">
        <v>1456</v>
      </c>
      <c r="B281" t="s">
        <v>1413</v>
      </c>
    </row>
    <row r="282" spans="1:2">
      <c r="A282" t="s">
        <v>1457</v>
      </c>
      <c r="B282" t="s">
        <v>1413</v>
      </c>
    </row>
    <row r="283" spans="1:2">
      <c r="A283" t="s">
        <v>1458</v>
      </c>
      <c r="B283" t="s">
        <v>1413</v>
      </c>
    </row>
    <row r="284" spans="1:2">
      <c r="A284" t="s">
        <v>1459</v>
      </c>
      <c r="B284" t="s">
        <v>1413</v>
      </c>
    </row>
    <row r="285" spans="1:2">
      <c r="A285" t="s">
        <v>1460</v>
      </c>
      <c r="B285" t="s">
        <v>1413</v>
      </c>
    </row>
    <row r="286" spans="1:2">
      <c r="A286" t="s">
        <v>1461</v>
      </c>
      <c r="B286" t="s">
        <v>1413</v>
      </c>
    </row>
    <row r="287" spans="1:2">
      <c r="A287" t="s">
        <v>1462</v>
      </c>
      <c r="B287" t="s">
        <v>289</v>
      </c>
    </row>
    <row r="288" spans="1:2">
      <c r="A288" t="s">
        <v>1463</v>
      </c>
      <c r="B288" t="s">
        <v>1413</v>
      </c>
    </row>
    <row r="289" spans="1:2">
      <c r="A289" t="s">
        <v>1464</v>
      </c>
      <c r="B289" t="s">
        <v>1413</v>
      </c>
    </row>
    <row r="290" spans="1:2">
      <c r="A290" t="s">
        <v>1465</v>
      </c>
      <c r="B290" t="s">
        <v>1466</v>
      </c>
    </row>
    <row r="291" spans="1:2">
      <c r="A291" t="s">
        <v>1467</v>
      </c>
      <c r="B291" t="s">
        <v>1468</v>
      </c>
    </row>
    <row r="292" spans="1:2">
      <c r="A292" t="s">
        <v>1469</v>
      </c>
      <c r="B292" t="s">
        <v>1413</v>
      </c>
    </row>
    <row r="293" spans="1:2">
      <c r="A293" t="s">
        <v>1470</v>
      </c>
      <c r="B293" t="s">
        <v>1413</v>
      </c>
    </row>
    <row r="294" spans="1:2">
      <c r="A294" t="s">
        <v>1471</v>
      </c>
      <c r="B294" t="s">
        <v>1413</v>
      </c>
    </row>
    <row r="295" spans="1:2">
      <c r="A295" t="s">
        <v>1472</v>
      </c>
      <c r="B295" t="s">
        <v>1413</v>
      </c>
    </row>
    <row r="296" spans="1:2">
      <c r="A296" t="s">
        <v>1473</v>
      </c>
      <c r="B296" t="s">
        <v>1413</v>
      </c>
    </row>
    <row r="297" spans="1:2">
      <c r="A297" t="s">
        <v>1474</v>
      </c>
      <c r="B297" t="s">
        <v>1413</v>
      </c>
    </row>
    <row r="298" spans="1:2">
      <c r="A298" t="s">
        <v>1475</v>
      </c>
      <c r="B298" t="s">
        <v>1413</v>
      </c>
    </row>
    <row r="299" spans="1:2">
      <c r="A299" t="s">
        <v>1476</v>
      </c>
      <c r="B299" t="s">
        <v>1413</v>
      </c>
    </row>
    <row r="300" spans="1:2">
      <c r="A300" t="s">
        <v>1477</v>
      </c>
      <c r="B300" t="s">
        <v>210</v>
      </c>
    </row>
    <row r="301" spans="1:2">
      <c r="A301" t="s">
        <v>1478</v>
      </c>
      <c r="B301" t="s">
        <v>1413</v>
      </c>
    </row>
    <row r="302" spans="1:2">
      <c r="A302" t="s">
        <v>1479</v>
      </c>
      <c r="B302" t="s">
        <v>1466</v>
      </c>
    </row>
    <row r="303" spans="1:2">
      <c r="A303" t="s">
        <v>1480</v>
      </c>
      <c r="B303" t="s">
        <v>1413</v>
      </c>
    </row>
    <row r="304" spans="1:2">
      <c r="A304" t="s">
        <v>1481</v>
      </c>
      <c r="B304" t="s">
        <v>1413</v>
      </c>
    </row>
    <row r="305" spans="1:2">
      <c r="A305" t="s">
        <v>1482</v>
      </c>
      <c r="B305" t="s">
        <v>1413</v>
      </c>
    </row>
    <row r="306" spans="1:2">
      <c r="A306" t="s">
        <v>1483</v>
      </c>
      <c r="B306" t="s">
        <v>1413</v>
      </c>
    </row>
    <row r="307" spans="1:2">
      <c r="A307" t="s">
        <v>1484</v>
      </c>
      <c r="B307" t="s">
        <v>1413</v>
      </c>
    </row>
    <row r="308" spans="1:2">
      <c r="A308" t="s">
        <v>1485</v>
      </c>
      <c r="B308" t="s">
        <v>1413</v>
      </c>
    </row>
    <row r="309" spans="1:2">
      <c r="A309" t="s">
        <v>1486</v>
      </c>
      <c r="B309" t="s">
        <v>1413</v>
      </c>
    </row>
    <row r="310" spans="1:2">
      <c r="A310" t="s">
        <v>1487</v>
      </c>
      <c r="B310" t="s">
        <v>1488</v>
      </c>
    </row>
    <row r="311" spans="1:2">
      <c r="A311" t="s">
        <v>1489</v>
      </c>
      <c r="B311" t="s">
        <v>1488</v>
      </c>
    </row>
    <row r="312" spans="1:2">
      <c r="A312" t="s">
        <v>1490</v>
      </c>
      <c r="B312" t="s">
        <v>1413</v>
      </c>
    </row>
    <row r="313" spans="1:2">
      <c r="A313" t="s">
        <v>1491</v>
      </c>
      <c r="B313" t="s">
        <v>1413</v>
      </c>
    </row>
    <row r="314" spans="1:2">
      <c r="A314" t="s">
        <v>1492</v>
      </c>
      <c r="B314" t="s">
        <v>1413</v>
      </c>
    </row>
    <row r="315" spans="1:2">
      <c r="A315" t="s">
        <v>1493</v>
      </c>
      <c r="B315" t="s">
        <v>1494</v>
      </c>
    </row>
    <row r="316" spans="1:2">
      <c r="A316" t="s">
        <v>801</v>
      </c>
      <c r="B316" t="s">
        <v>1495</v>
      </c>
    </row>
    <row r="317" spans="1:2">
      <c r="A317" t="s">
        <v>1496</v>
      </c>
      <c r="B317" t="s">
        <v>1413</v>
      </c>
    </row>
    <row r="318" spans="1:2">
      <c r="A318" t="s">
        <v>1497</v>
      </c>
      <c r="B318" t="s">
        <v>1413</v>
      </c>
    </row>
    <row r="319" spans="1:2">
      <c r="A319" t="s">
        <v>1498</v>
      </c>
      <c r="B319" t="s">
        <v>1499</v>
      </c>
    </row>
    <row r="320" spans="1:2">
      <c r="A320" t="s">
        <v>1500</v>
      </c>
      <c r="B320" t="s">
        <v>1413</v>
      </c>
    </row>
    <row r="321" spans="1:2">
      <c r="A321" t="s">
        <v>1501</v>
      </c>
      <c r="B321" t="s">
        <v>1413</v>
      </c>
    </row>
    <row r="322" spans="1:2">
      <c r="A322" t="s">
        <v>1502</v>
      </c>
      <c r="B322" t="s">
        <v>1413</v>
      </c>
    </row>
    <row r="323" spans="1:2">
      <c r="A323" t="s">
        <v>1503</v>
      </c>
      <c r="B323" t="s">
        <v>1413</v>
      </c>
    </row>
    <row r="324" spans="1:2">
      <c r="A324" t="s">
        <v>1504</v>
      </c>
      <c r="B324" t="s">
        <v>1413</v>
      </c>
    </row>
    <row r="325" spans="1:2">
      <c r="A325" t="s">
        <v>1505</v>
      </c>
      <c r="B325" t="s">
        <v>1413</v>
      </c>
    </row>
    <row r="326" spans="1:2">
      <c r="A326" t="s">
        <v>1506</v>
      </c>
      <c r="B326" t="s">
        <v>1413</v>
      </c>
    </row>
    <row r="327" spans="1:2">
      <c r="A327" t="s">
        <v>1507</v>
      </c>
      <c r="B327" t="s">
        <v>1413</v>
      </c>
    </row>
    <row r="328" spans="1:2">
      <c r="A328" t="s">
        <v>1508</v>
      </c>
      <c r="B328" t="s">
        <v>1413</v>
      </c>
    </row>
    <row r="329" spans="1:2">
      <c r="A329" t="s">
        <v>1509</v>
      </c>
      <c r="B329" t="s">
        <v>1413</v>
      </c>
    </row>
    <row r="330" spans="1:2">
      <c r="A330" t="s">
        <v>1510</v>
      </c>
      <c r="B330" t="s">
        <v>1413</v>
      </c>
    </row>
    <row r="331" spans="1:2">
      <c r="A331" t="s">
        <v>1511</v>
      </c>
      <c r="B331" t="s">
        <v>1413</v>
      </c>
    </row>
    <row r="332" spans="1:2">
      <c r="A332" t="s">
        <v>1512</v>
      </c>
      <c r="B332" t="s">
        <v>1413</v>
      </c>
    </row>
    <row r="333" spans="1:2">
      <c r="A333" t="s">
        <v>1513</v>
      </c>
      <c r="B333" t="s">
        <v>1413</v>
      </c>
    </row>
    <row r="334" spans="1:2">
      <c r="A334" t="s">
        <v>1514</v>
      </c>
      <c r="B334" t="s">
        <v>1413</v>
      </c>
    </row>
    <row r="335" spans="1:2">
      <c r="A335" t="s">
        <v>1515</v>
      </c>
      <c r="B335" t="s">
        <v>1413</v>
      </c>
    </row>
    <row r="336" spans="1:2">
      <c r="A336" t="s">
        <v>526</v>
      </c>
      <c r="B336" t="s">
        <v>244</v>
      </c>
    </row>
    <row r="337" spans="1:2">
      <c r="A337" t="s">
        <v>808</v>
      </c>
      <c r="B337" t="s">
        <v>1516</v>
      </c>
    </row>
    <row r="338" spans="1:2">
      <c r="A338" t="s">
        <v>1517</v>
      </c>
      <c r="B338" t="s">
        <v>1413</v>
      </c>
    </row>
    <row r="339" spans="1:2">
      <c r="A339" t="s">
        <v>1518</v>
      </c>
      <c r="B339" t="s">
        <v>1413</v>
      </c>
    </row>
    <row r="340" spans="1:2">
      <c r="A340" t="s">
        <v>1519</v>
      </c>
      <c r="B340" t="s">
        <v>1413</v>
      </c>
    </row>
    <row r="341" spans="1:2">
      <c r="A341" t="s">
        <v>1520</v>
      </c>
      <c r="B341" t="s">
        <v>1413</v>
      </c>
    </row>
    <row r="342" spans="1:2">
      <c r="A342" t="s">
        <v>1521</v>
      </c>
      <c r="B342" t="s">
        <v>1522</v>
      </c>
    </row>
    <row r="343" spans="1:2">
      <c r="A343" t="s">
        <v>1523</v>
      </c>
      <c r="B343" t="s">
        <v>1413</v>
      </c>
    </row>
    <row r="344" spans="1:2">
      <c r="A344" t="s">
        <v>1524</v>
      </c>
      <c r="B344" t="s">
        <v>1413</v>
      </c>
    </row>
    <row r="345" spans="1:2">
      <c r="A345" t="s">
        <v>1525</v>
      </c>
      <c r="B345" t="s">
        <v>1413</v>
      </c>
    </row>
    <row r="346" spans="1:2">
      <c r="A346" t="s">
        <v>1526</v>
      </c>
      <c r="B346" t="s">
        <v>1413</v>
      </c>
    </row>
    <row r="347" spans="1:2">
      <c r="A347" t="s">
        <v>1527</v>
      </c>
      <c r="B347" t="s">
        <v>1413</v>
      </c>
    </row>
    <row r="348" spans="1:2">
      <c r="A348" t="s">
        <v>1528</v>
      </c>
      <c r="B348" t="s">
        <v>1413</v>
      </c>
    </row>
    <row r="349" spans="1:2">
      <c r="A349" t="s">
        <v>1529</v>
      </c>
      <c r="B349" t="s">
        <v>1418</v>
      </c>
    </row>
    <row r="350" spans="1:2">
      <c r="A350" t="s">
        <v>1530</v>
      </c>
      <c r="B350" t="s">
        <v>1413</v>
      </c>
    </row>
    <row r="351" spans="1:2">
      <c r="A351" t="s">
        <v>1531</v>
      </c>
      <c r="B351" t="s">
        <v>1418</v>
      </c>
    </row>
    <row r="352" spans="1:2">
      <c r="A352" t="s">
        <v>1532</v>
      </c>
      <c r="B352" t="s">
        <v>1413</v>
      </c>
    </row>
    <row r="353" spans="1:2">
      <c r="A353" t="s">
        <v>1533</v>
      </c>
      <c r="B353" t="s">
        <v>1413</v>
      </c>
    </row>
    <row r="354" spans="1:2">
      <c r="A354" t="s">
        <v>1534</v>
      </c>
      <c r="B354" t="s">
        <v>1413</v>
      </c>
    </row>
    <row r="356" spans="1:2">
      <c r="A356" t="s">
        <v>1150</v>
      </c>
    </row>
    <row r="357" spans="1:2">
      <c r="A357" s="19" t="s">
        <v>1161</v>
      </c>
      <c r="B357" t="s">
        <v>1162</v>
      </c>
    </row>
    <row r="358" spans="1:2">
      <c r="A358" s="20" t="s">
        <v>1163</v>
      </c>
      <c r="B358" t="s">
        <v>1164</v>
      </c>
    </row>
    <row r="359" spans="1:2">
      <c r="A359" s="21" t="s">
        <v>1165</v>
      </c>
      <c r="B359" t="s">
        <v>1166</v>
      </c>
    </row>
  </sheetData>
  <dataValidations count="1">
    <dataValidation type="list" allowBlank="1" showInputMessage="1" showErrorMessage="1" sqref="B240:B354" xr:uid="{3895B794-81DD-4C7C-B9AB-CFEA603CC34A}">
      <formula1>#REF!</formula1>
    </dataValidation>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716D-3050-4939-89B5-C6E5B3BC7FE9}">
  <dimension ref="A2:I13"/>
  <sheetViews>
    <sheetView workbookViewId="0">
      <selection activeCell="C15" sqref="C15"/>
    </sheetView>
  </sheetViews>
  <sheetFormatPr defaultColWidth="11.5703125" defaultRowHeight="12.75"/>
  <cols>
    <col min="1" max="1" width="4.7109375" style="57" customWidth="1"/>
    <col min="2" max="2" width="45.140625" style="65" customWidth="1"/>
    <col min="3" max="3" width="24.28515625" style="64" customWidth="1"/>
    <col min="4" max="4" width="14.7109375" style="64" customWidth="1"/>
    <col min="5" max="5" width="13.85546875" style="64" customWidth="1"/>
    <col min="6" max="6" width="16.7109375" style="64" customWidth="1"/>
    <col min="7" max="7" width="17.28515625" style="64" customWidth="1"/>
    <col min="8" max="8" width="22.7109375" style="57" customWidth="1"/>
    <col min="9" max="16384" width="11.5703125" style="57"/>
  </cols>
  <sheetData>
    <row r="2" spans="1:9" ht="21">
      <c r="A2" s="531" t="s">
        <v>1535</v>
      </c>
      <c r="B2" s="531"/>
      <c r="C2" s="531"/>
      <c r="D2" s="531"/>
      <c r="E2" s="531"/>
      <c r="F2" s="531"/>
      <c r="G2" s="531"/>
    </row>
    <row r="4" spans="1:9" s="103" customFormat="1" ht="30">
      <c r="A4" s="98" t="s">
        <v>0</v>
      </c>
      <c r="B4" s="99" t="s">
        <v>2</v>
      </c>
      <c r="C4" s="99" t="s">
        <v>4</v>
      </c>
      <c r="D4" s="99" t="s">
        <v>5</v>
      </c>
      <c r="E4" s="100" t="s">
        <v>21</v>
      </c>
      <c r="F4" s="101" t="s">
        <v>23</v>
      </c>
      <c r="G4" s="102" t="s">
        <v>916</v>
      </c>
      <c r="H4" s="103" t="s">
        <v>1536</v>
      </c>
      <c r="I4" s="103" t="s">
        <v>1537</v>
      </c>
    </row>
    <row r="5" spans="1:9" s="25" customFormat="1" ht="30">
      <c r="A5" s="104">
        <v>1</v>
      </c>
      <c r="B5" s="105" t="s">
        <v>1538</v>
      </c>
      <c r="C5" s="106" t="s">
        <v>220</v>
      </c>
      <c r="D5" s="106" t="s">
        <v>1539</v>
      </c>
      <c r="E5" s="106" t="s">
        <v>1540</v>
      </c>
      <c r="F5" s="107" t="s">
        <v>435</v>
      </c>
      <c r="G5" s="106" t="s">
        <v>1541</v>
      </c>
      <c r="H5" s="287"/>
      <c r="I5" s="287"/>
    </row>
    <row r="6" spans="1:9" s="25" customFormat="1" ht="30">
      <c r="A6" s="104">
        <v>2</v>
      </c>
      <c r="B6" s="105" t="s">
        <v>1542</v>
      </c>
      <c r="C6" s="106" t="s">
        <v>34</v>
      </c>
      <c r="D6" s="106" t="s">
        <v>1543</v>
      </c>
      <c r="E6" s="106" t="s">
        <v>1544</v>
      </c>
      <c r="F6" s="107" t="s">
        <v>185</v>
      </c>
      <c r="G6" s="106" t="s">
        <v>1541</v>
      </c>
      <c r="H6" s="106"/>
      <c r="I6" s="106"/>
    </row>
    <row r="7" spans="1:9" s="25" customFormat="1" ht="15">
      <c r="A7" s="104">
        <v>3</v>
      </c>
      <c r="B7" s="105" t="s">
        <v>1545</v>
      </c>
      <c r="C7" s="106" t="s">
        <v>93</v>
      </c>
      <c r="D7" s="106" t="s">
        <v>368</v>
      </c>
      <c r="E7" s="106" t="s">
        <v>1546</v>
      </c>
      <c r="F7" s="107" t="s">
        <v>185</v>
      </c>
      <c r="G7" s="106" t="s">
        <v>1541</v>
      </c>
      <c r="H7" s="106" t="s">
        <v>1547</v>
      </c>
      <c r="I7" s="106"/>
    </row>
    <row r="8" spans="1:9" s="25" customFormat="1" ht="30">
      <c r="A8" s="104">
        <v>4</v>
      </c>
      <c r="B8" s="105" t="s">
        <v>1548</v>
      </c>
      <c r="C8" s="106" t="s">
        <v>1256</v>
      </c>
      <c r="D8" s="106" t="s">
        <v>1549</v>
      </c>
      <c r="E8" s="106" t="s">
        <v>1550</v>
      </c>
      <c r="F8" s="107" t="s">
        <v>435</v>
      </c>
      <c r="G8" s="106" t="s">
        <v>1541</v>
      </c>
      <c r="H8" s="106"/>
      <c r="I8" s="106"/>
    </row>
    <row r="9" spans="1:9" s="25" customFormat="1" ht="45">
      <c r="A9" s="104">
        <v>5</v>
      </c>
      <c r="B9" s="105" t="s">
        <v>1551</v>
      </c>
      <c r="C9" s="106" t="s">
        <v>113</v>
      </c>
      <c r="D9" s="106" t="s">
        <v>114</v>
      </c>
      <c r="E9" s="106" t="s">
        <v>1552</v>
      </c>
      <c r="F9" s="107" t="s">
        <v>225</v>
      </c>
      <c r="G9" s="106" t="s">
        <v>1541</v>
      </c>
      <c r="H9" s="106" t="s">
        <v>1547</v>
      </c>
      <c r="I9" s="106"/>
    </row>
    <row r="10" spans="1:9" s="25" customFormat="1" ht="45">
      <c r="A10" s="104">
        <v>6</v>
      </c>
      <c r="B10" s="105" t="s">
        <v>1553</v>
      </c>
      <c r="C10" s="106" t="s">
        <v>113</v>
      </c>
      <c r="D10" s="106" t="s">
        <v>114</v>
      </c>
      <c r="E10" s="106" t="s">
        <v>1554</v>
      </c>
      <c r="F10" s="107" t="s">
        <v>225</v>
      </c>
      <c r="G10" s="106" t="s">
        <v>1541</v>
      </c>
      <c r="H10" s="288"/>
      <c r="I10" s="106"/>
    </row>
    <row r="11" spans="1:9" s="25" customFormat="1" ht="15">
      <c r="A11" s="413"/>
      <c r="B11" s="414" t="s">
        <v>1555</v>
      </c>
      <c r="C11" s="288"/>
      <c r="D11" s="288"/>
      <c r="E11" s="288"/>
      <c r="F11" s="288"/>
      <c r="G11" s="288"/>
      <c r="H11" s="288"/>
      <c r="I11" s="288"/>
    </row>
    <row r="13" spans="1:9" s="97" customFormat="1" ht="15.75">
      <c r="A13" s="532" t="s">
        <v>1556</v>
      </c>
      <c r="B13" s="532"/>
      <c r="C13" s="532"/>
      <c r="D13" s="532"/>
      <c r="E13" s="532"/>
      <c r="F13" s="532"/>
      <c r="G13" s="532"/>
    </row>
  </sheetData>
  <mergeCells count="2">
    <mergeCell ref="A2:G2"/>
    <mergeCell ref="A13:G13"/>
  </mergeCells>
  <dataValidations count="1">
    <dataValidation type="list" allowBlank="1" showInputMessage="1" showErrorMessage="1" sqref="G5:G11" xr:uid="{3A6B1EB3-7ED6-425E-AF1D-1DE2B1AE753B}">
      <formula1>"01. NO INICIADO, 02. EN CURSO, 03. IMPLEMENTADO, 04. CERRADO, 05. DESCARTADO, 06. PARALIZADO"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FD68-738E-4E71-A12F-E7453856BA01}">
  <dimension ref="A1:O14"/>
  <sheetViews>
    <sheetView workbookViewId="0">
      <pane ySplit="1" topLeftCell="A14" activePane="bottomLeft" state="frozen"/>
      <selection pane="bottomLeft" activeCell="D14" sqref="D14"/>
    </sheetView>
  </sheetViews>
  <sheetFormatPr defaultRowHeight="15"/>
  <cols>
    <col min="6" max="6" width="18.85546875" customWidth="1"/>
    <col min="7" max="10" width="11.42578125" bestFit="1" customWidth="1"/>
    <col min="15" max="15" width="12.7109375" customWidth="1"/>
  </cols>
  <sheetData>
    <row r="1" spans="1:15" ht="67.5">
      <c r="A1" s="477" t="s">
        <v>313</v>
      </c>
      <c r="B1" s="478" t="s">
        <v>314</v>
      </c>
      <c r="C1" s="478" t="s">
        <v>315</v>
      </c>
      <c r="D1" s="478" t="s">
        <v>316</v>
      </c>
      <c r="E1" s="478" t="s">
        <v>317</v>
      </c>
      <c r="F1" s="479" t="s">
        <v>2</v>
      </c>
      <c r="G1" s="480" t="s">
        <v>1557</v>
      </c>
      <c r="H1" s="480" t="s">
        <v>1558</v>
      </c>
      <c r="I1" s="480" t="s">
        <v>1559</v>
      </c>
      <c r="J1" s="480" t="s">
        <v>1560</v>
      </c>
      <c r="K1" s="480" t="s">
        <v>1561</v>
      </c>
      <c r="L1" s="480" t="s">
        <v>1562</v>
      </c>
      <c r="M1" s="473" t="s">
        <v>21</v>
      </c>
      <c r="N1" s="474" t="s">
        <v>329</v>
      </c>
      <c r="O1" s="475" t="s">
        <v>1563</v>
      </c>
    </row>
    <row r="2" spans="1:15" ht="81">
      <c r="A2" s="481">
        <v>2056</v>
      </c>
      <c r="B2" s="482" t="s">
        <v>175</v>
      </c>
      <c r="C2" s="482" t="s">
        <v>175</v>
      </c>
      <c r="D2" s="482" t="s">
        <v>175</v>
      </c>
      <c r="E2" s="482" t="s">
        <v>347</v>
      </c>
      <c r="F2" s="482" t="s">
        <v>84</v>
      </c>
      <c r="K2" s="483"/>
      <c r="L2" s="483"/>
      <c r="M2" s="158" t="s">
        <v>87</v>
      </c>
      <c r="N2" s="55" t="s">
        <v>439</v>
      </c>
      <c r="O2" s="75" t="s">
        <v>394</v>
      </c>
    </row>
    <row r="3" spans="1:15" ht="161.25">
      <c r="A3" s="484">
        <v>2288</v>
      </c>
      <c r="B3" s="485" t="s">
        <v>470</v>
      </c>
      <c r="C3" s="485">
        <v>2056</v>
      </c>
      <c r="D3" s="486" t="s">
        <v>471</v>
      </c>
      <c r="E3" s="485" t="s">
        <v>364</v>
      </c>
      <c r="F3" s="485" t="s">
        <v>472</v>
      </c>
      <c r="G3" s="488">
        <v>45859</v>
      </c>
      <c r="H3" s="488">
        <v>45859</v>
      </c>
      <c r="I3" s="488">
        <v>45872</v>
      </c>
      <c r="J3" s="488">
        <v>45883</v>
      </c>
      <c r="K3" s="483"/>
      <c r="L3" s="483"/>
      <c r="M3" s="158" t="s">
        <v>87</v>
      </c>
      <c r="N3" s="55" t="s">
        <v>439</v>
      </c>
      <c r="O3" s="75" t="s">
        <v>375</v>
      </c>
    </row>
    <row r="4" spans="1:15" ht="161.25">
      <c r="A4" s="484">
        <v>2458</v>
      </c>
      <c r="B4" s="485" t="s">
        <v>531</v>
      </c>
      <c r="C4" s="485">
        <v>2056</v>
      </c>
      <c r="D4" s="485" t="s">
        <v>532</v>
      </c>
      <c r="E4" s="485" t="s">
        <v>364</v>
      </c>
      <c r="F4" s="485" t="s">
        <v>533</v>
      </c>
      <c r="G4" s="488">
        <v>45575</v>
      </c>
      <c r="H4" s="488">
        <v>45575</v>
      </c>
      <c r="I4" s="488">
        <v>45575</v>
      </c>
      <c r="J4" s="488">
        <v>45708</v>
      </c>
      <c r="K4" s="483"/>
      <c r="L4" s="483"/>
      <c r="M4" s="158" t="s">
        <v>87</v>
      </c>
      <c r="N4" s="55" t="s">
        <v>439</v>
      </c>
      <c r="O4" s="75" t="s">
        <v>375</v>
      </c>
    </row>
    <row r="5" spans="1:15" ht="94.5">
      <c r="A5" s="484">
        <v>2502</v>
      </c>
      <c r="B5" s="485" t="s">
        <v>547</v>
      </c>
      <c r="C5" s="485">
        <v>2056</v>
      </c>
      <c r="D5" s="485" t="s">
        <v>548</v>
      </c>
      <c r="E5" s="485" t="s">
        <v>364</v>
      </c>
      <c r="F5" s="485" t="s">
        <v>549</v>
      </c>
      <c r="G5" s="488">
        <v>45629</v>
      </c>
      <c r="H5" s="488">
        <v>45645</v>
      </c>
      <c r="I5" s="488">
        <v>45680</v>
      </c>
      <c r="J5" s="488">
        <v>45727</v>
      </c>
      <c r="K5" s="483"/>
      <c r="L5" s="483"/>
      <c r="M5" s="158" t="s">
        <v>87</v>
      </c>
      <c r="N5" s="55" t="s">
        <v>439</v>
      </c>
      <c r="O5" s="75" t="s">
        <v>375</v>
      </c>
    </row>
    <row r="6" spans="1:15" ht="81">
      <c r="A6" s="484">
        <v>2567</v>
      </c>
      <c r="B6" s="485" t="s">
        <v>569</v>
      </c>
      <c r="C6" s="485">
        <v>2056</v>
      </c>
      <c r="D6" s="485" t="s">
        <v>570</v>
      </c>
      <c r="E6" s="485" t="s">
        <v>364</v>
      </c>
      <c r="F6" s="485" t="s">
        <v>571</v>
      </c>
      <c r="G6" s="488">
        <v>45785</v>
      </c>
      <c r="H6" s="488">
        <v>45995</v>
      </c>
      <c r="I6" s="488">
        <v>45762</v>
      </c>
      <c r="J6" s="483"/>
      <c r="K6" s="483"/>
      <c r="L6" s="483"/>
      <c r="M6" s="158" t="s">
        <v>87</v>
      </c>
      <c r="N6" s="55" t="s">
        <v>439</v>
      </c>
      <c r="O6" s="75" t="s">
        <v>403</v>
      </c>
    </row>
    <row r="7" spans="1:15" ht="135">
      <c r="A7" s="484">
        <v>2568</v>
      </c>
      <c r="B7" s="485" t="s">
        <v>576</v>
      </c>
      <c r="C7" s="485">
        <v>2056</v>
      </c>
      <c r="D7" s="485" t="s">
        <v>577</v>
      </c>
      <c r="E7" s="485" t="s">
        <v>364</v>
      </c>
      <c r="F7" s="485" t="s">
        <v>578</v>
      </c>
      <c r="G7" s="488">
        <v>46037</v>
      </c>
      <c r="H7" s="488">
        <v>46094</v>
      </c>
      <c r="I7" s="488">
        <v>45803</v>
      </c>
      <c r="J7" s="483"/>
      <c r="K7" s="483"/>
      <c r="L7" s="483"/>
      <c r="M7" s="158" t="s">
        <v>87</v>
      </c>
      <c r="N7" s="55" t="s">
        <v>439</v>
      </c>
      <c r="O7" s="476" t="s">
        <v>487</v>
      </c>
    </row>
    <row r="8" spans="1:15" ht="216">
      <c r="A8" s="484">
        <v>2569</v>
      </c>
      <c r="B8" s="485" t="s">
        <v>582</v>
      </c>
      <c r="C8" s="485">
        <v>2056</v>
      </c>
      <c r="D8" s="485" t="s">
        <v>583</v>
      </c>
      <c r="E8" s="485" t="s">
        <v>364</v>
      </c>
      <c r="F8" s="485" t="s">
        <v>584</v>
      </c>
      <c r="G8" s="488">
        <v>46037</v>
      </c>
      <c r="H8" s="488">
        <v>46094</v>
      </c>
      <c r="I8" s="488">
        <v>45803</v>
      </c>
      <c r="J8" s="483"/>
      <c r="K8" s="483"/>
      <c r="L8" s="483"/>
      <c r="M8" s="158" t="s">
        <v>87</v>
      </c>
      <c r="N8" s="55" t="s">
        <v>439</v>
      </c>
      <c r="O8" s="476" t="s">
        <v>487</v>
      </c>
    </row>
    <row r="9" spans="1:15" ht="148.5">
      <c r="A9" s="484">
        <v>2570</v>
      </c>
      <c r="B9" s="485" t="s">
        <v>586</v>
      </c>
      <c r="C9" s="485">
        <v>2056</v>
      </c>
      <c r="D9" s="485" t="s">
        <v>587</v>
      </c>
      <c r="E9" s="485" t="s">
        <v>364</v>
      </c>
      <c r="F9" s="485" t="s">
        <v>588</v>
      </c>
      <c r="G9" s="488">
        <v>45686</v>
      </c>
      <c r="H9" s="483"/>
      <c r="I9" s="483"/>
      <c r="J9" s="483"/>
      <c r="K9" s="483"/>
      <c r="L9" s="483"/>
      <c r="M9" s="158" t="s">
        <v>87</v>
      </c>
      <c r="N9" s="55" t="s">
        <v>439</v>
      </c>
      <c r="O9" s="75" t="s">
        <v>386</v>
      </c>
    </row>
    <row r="10" spans="1:15" ht="189">
      <c r="A10" s="484">
        <v>2578</v>
      </c>
      <c r="B10" s="485" t="s">
        <v>590</v>
      </c>
      <c r="C10" s="485">
        <v>2056</v>
      </c>
      <c r="D10" s="485" t="s">
        <v>591</v>
      </c>
      <c r="E10" s="485" t="s">
        <v>364</v>
      </c>
      <c r="F10" s="485" t="s">
        <v>592</v>
      </c>
      <c r="G10" s="488">
        <v>46035</v>
      </c>
      <c r="H10" s="488">
        <v>46094</v>
      </c>
      <c r="I10" s="488">
        <v>45952</v>
      </c>
      <c r="J10" s="483"/>
      <c r="K10" s="483"/>
      <c r="L10" s="483"/>
      <c r="M10" s="158" t="s">
        <v>87</v>
      </c>
      <c r="N10" s="55" t="s">
        <v>439</v>
      </c>
      <c r="O10" s="476" t="s">
        <v>487</v>
      </c>
    </row>
    <row r="11" spans="1:15" ht="81">
      <c r="A11" s="484">
        <v>2605</v>
      </c>
      <c r="B11" s="485" t="s">
        <v>601</v>
      </c>
      <c r="C11" s="485">
        <v>2056</v>
      </c>
      <c r="D11" s="485" t="s">
        <v>602</v>
      </c>
      <c r="E11" s="485" t="s">
        <v>364</v>
      </c>
      <c r="F11" s="485" t="s">
        <v>603</v>
      </c>
      <c r="G11" s="488">
        <v>45663</v>
      </c>
      <c r="H11" s="483"/>
      <c r="I11" s="483"/>
      <c r="J11" s="483"/>
      <c r="K11" s="483"/>
      <c r="L11" s="483"/>
      <c r="M11" s="158" t="s">
        <v>87</v>
      </c>
      <c r="N11" s="55" t="s">
        <v>439</v>
      </c>
      <c r="O11" s="75" t="s">
        <v>386</v>
      </c>
    </row>
    <row r="12" spans="1:15" ht="161.25">
      <c r="A12" s="484">
        <v>2699</v>
      </c>
      <c r="B12" s="487" t="s">
        <v>649</v>
      </c>
      <c r="C12" s="485">
        <v>2056</v>
      </c>
      <c r="D12" s="486" t="s">
        <v>650</v>
      </c>
      <c r="E12" s="485" t="s">
        <v>364</v>
      </c>
      <c r="F12" s="485" t="s">
        <v>651</v>
      </c>
      <c r="G12" s="488">
        <v>45721</v>
      </c>
      <c r="H12" s="488">
        <v>45877</v>
      </c>
      <c r="I12" s="488">
        <v>45887</v>
      </c>
      <c r="J12" s="488">
        <v>45890</v>
      </c>
      <c r="K12" s="483"/>
      <c r="L12" s="483"/>
      <c r="M12" s="158" t="s">
        <v>87</v>
      </c>
      <c r="N12" s="55" t="s">
        <v>439</v>
      </c>
      <c r="O12" s="75" t="s">
        <v>375</v>
      </c>
    </row>
    <row r="13" spans="1:15" ht="174.75">
      <c r="A13" s="484">
        <v>2702</v>
      </c>
      <c r="B13" s="487" t="s">
        <v>654</v>
      </c>
      <c r="C13" s="485">
        <v>2056</v>
      </c>
      <c r="D13" s="486" t="s">
        <v>655</v>
      </c>
      <c r="E13" s="485" t="s">
        <v>364</v>
      </c>
      <c r="F13" s="485" t="s">
        <v>656</v>
      </c>
      <c r="G13" s="488">
        <v>45705</v>
      </c>
      <c r="H13" s="483"/>
      <c r="I13" s="483"/>
      <c r="J13" s="483"/>
      <c r="K13" s="483"/>
      <c r="L13" s="483"/>
      <c r="M13" s="158" t="s">
        <v>87</v>
      </c>
      <c r="N13" s="55" t="s">
        <v>374</v>
      </c>
      <c r="O13" s="75" t="s">
        <v>520</v>
      </c>
    </row>
    <row r="14" spans="1:15" ht="121.5">
      <c r="A14" s="484">
        <v>2779</v>
      </c>
      <c r="B14" s="485" t="s">
        <v>672</v>
      </c>
      <c r="C14" s="485">
        <v>2056</v>
      </c>
      <c r="D14" s="485" t="s">
        <v>673</v>
      </c>
      <c r="E14" s="485" t="s">
        <v>364</v>
      </c>
      <c r="F14" s="485" t="s">
        <v>674</v>
      </c>
      <c r="G14" s="488">
        <v>46035</v>
      </c>
      <c r="H14" s="488">
        <v>46094</v>
      </c>
      <c r="I14" s="488">
        <v>45952</v>
      </c>
      <c r="J14" s="483"/>
      <c r="K14" s="483"/>
      <c r="L14" s="483"/>
      <c r="M14" s="158" t="s">
        <v>87</v>
      </c>
      <c r="N14" s="55" t="s">
        <v>439</v>
      </c>
      <c r="O14" s="476" t="s">
        <v>487</v>
      </c>
    </row>
  </sheetData>
  <autoFilter ref="A1:O14" xr:uid="{5378FD68-738E-4E71-A12F-E7453856BA01}"/>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F0808E-7C33-4626-90C0-82FC743A47A4}">
          <x14:formula1>
            <xm:f>Definiciones!$A$86:$A$92</xm:f>
          </x14:formula1>
          <xm:sqref>N2:N14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60b2574-c8e5-4143-9c8d-933800433a55" xsi:nil="true"/>
    <lcf76f155ced4ddcb4097134ff3c332f xmlns="d949ff55-c3b2-47d0-83bd-87e3c400f29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CD4C28B6A366A48AE6C5CB7EF0473EC" ma:contentTypeVersion="16" ma:contentTypeDescription="Crear nuevo documento." ma:contentTypeScope="" ma:versionID="116c777ff85414db4da7d9e463d9ab55">
  <xsd:schema xmlns:xsd="http://www.w3.org/2001/XMLSchema" xmlns:xs="http://www.w3.org/2001/XMLSchema" xmlns:p="http://schemas.microsoft.com/office/2006/metadata/properties" xmlns:ns2="d949ff55-c3b2-47d0-83bd-87e3c400f295" xmlns:ns3="860b2574-c8e5-4143-9c8d-933800433a55" targetNamespace="http://schemas.microsoft.com/office/2006/metadata/properties" ma:root="true" ma:fieldsID="591524e15f05fbc31fe2a6cbca275c07" ns2:_="" ns3:_="">
    <xsd:import namespace="d949ff55-c3b2-47d0-83bd-87e3c400f295"/>
    <xsd:import namespace="860b2574-c8e5-4143-9c8d-933800433a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9ff55-c3b2-47d0-83bd-87e3c400f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0dcf0f-ef43-4134-b02e-4da2af1727e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0b2574-c8e5-4143-9c8d-933800433a5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af0f1f-a108-470f-a8d6-f756cdded91f}" ma:internalName="TaxCatchAll" ma:showField="CatchAllData" ma:web="860b2574-c8e5-4143-9c8d-933800433a5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54BACC-D87D-4EFD-9285-16E42604B761}"/>
</file>

<file path=customXml/itemProps2.xml><?xml version="1.0" encoding="utf-8"?>
<ds:datastoreItem xmlns:ds="http://schemas.openxmlformats.org/officeDocument/2006/customXml" ds:itemID="{23D07EAC-7C07-4801-90A9-CFB10F167D67}"/>
</file>

<file path=customXml/itemProps3.xml><?xml version="1.0" encoding="utf-8"?>
<ds:datastoreItem xmlns:ds="http://schemas.openxmlformats.org/officeDocument/2006/customXml" ds:itemID="{A923C2EF-62D5-4F8F-B89F-895E834E8603}"/>
</file>

<file path=docProps/app.xml><?xml version="1.0" encoding="utf-8"?>
<Properties xmlns="http://schemas.openxmlformats.org/officeDocument/2006/extended-properties" xmlns:vt="http://schemas.openxmlformats.org/officeDocument/2006/docPropsVTypes">
  <Application>Microsoft Excel Online</Application>
  <Manager/>
  <Company>Banco de la Nacion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Backlog</dc:title>
  <dc:subject/>
  <dc:creator>LIZZET CLENCY SANCHEZ ROBLES</dc:creator>
  <cp:keywords/>
  <dc:description/>
  <cp:lastModifiedBy>LIZZET CLENCY SANCHEZ ROBLES</cp:lastModifiedBy>
  <cp:revision/>
  <dcterms:created xsi:type="dcterms:W3CDTF">2025-07-14T00:51:57Z</dcterms:created>
  <dcterms:modified xsi:type="dcterms:W3CDTF">2026-05-19T15:51:14Z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0x010100ECD4C28B6A366A48AE6C5CB7EF0473EC</vt:lpwstr>
  </property>
  <property fmtid="{D5CDD505-2E9C-101B-9397-08002B2CF9AE}" pid="3" name="MediaServiceImageTags">
    <vt:lpwstr/>
  </property>
</Properties>
</file>